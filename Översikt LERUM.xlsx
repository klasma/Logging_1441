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46305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46305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46305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46305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46305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46305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46305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46305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46305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46305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46305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46305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46305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46305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10410-2022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46305</v>
      </c>
      <c r="F16" t="inlineStr">
        <is>
          <t>VÄSTRA GÖTALANDS LÄN</t>
        </is>
      </c>
      <c r="G16" t="inlineStr">
        <is>
          <t>LERUM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HYPERLINK("https://klasma.github.io/Logging_1441/artfynd/A 10410-2022 artfynd.xlsx", "A 10410-2022")</f>
        <v/>
      </c>
      <c r="X16">
        <f>HYPERLINK("https://klasma.github.io/Logging_1441/kartor/A 10410-2022 karta.png", "A 10410-2022")</f>
        <v/>
      </c>
      <c r="Y16">
        <f>HYPERLINK("https://klasma.github.io/Logging_1441/kartor_geotiff/A 10410-2022 georefererad karta.tif", "A 10410-2022")</f>
        <v/>
      </c>
      <c r="AA16">
        <f>HYPERLINK("https://klasma.github.io/Logging_1441/klagomål/A 10410-2022 FSC-klagomål.docx", "A 10410-2022")</f>
        <v/>
      </c>
      <c r="AB16">
        <f>HYPERLINK("https://klasma.github.io/Logging_1441/klagomålsmail/A 10410-2022 FSC-klagomål mail.docx", "A 10410-2022")</f>
        <v/>
      </c>
      <c r="AC16">
        <f>HYPERLINK("https://klasma.github.io/Logging_1441/tillsyn/A 10410-2022 tillsynsbegäran.docx", "A 10410-2022")</f>
        <v/>
      </c>
      <c r="AD16">
        <f>HYPERLINK("https://klasma.github.io/Logging_1441/tillsynsmail/A 10410-2022 tillsynsbegäran mail.docx", "A 10410-2022")</f>
        <v/>
      </c>
    </row>
    <row r="17" ht="15" customHeight="1">
      <c r="A17" t="inlineStr">
        <is>
          <t>A 26568-2023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46305</v>
      </c>
      <c r="F17" t="inlineStr">
        <is>
          <t>VÄSTRA GÖTALANDS LÄN</t>
        </is>
      </c>
      <c r="G17" t="inlineStr">
        <is>
          <t>LERUM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 jordtunga</t>
        </is>
      </c>
      <c r="W17">
        <f>HYPERLINK("https://klasma.github.io/Logging_1441/artfynd/A 26568-2023 artfynd.xlsx", "A 26568-2023")</f>
        <v/>
      </c>
      <c r="X17">
        <f>HYPERLINK("https://klasma.github.io/Logging_1441/kartor/A 26568-2023 karta.png", "A 26568-2023")</f>
        <v/>
      </c>
      <c r="Y17">
        <f>HYPERLINK("https://klasma.github.io/Logging_1441/kartor_geotiff/A 26568-2023 georefererad karta.tif", "A 26568-2023")</f>
        <v/>
      </c>
      <c r="AA17">
        <f>HYPERLINK("https://klasma.github.io/Logging_1441/klagomål/A 26568-2023 FSC-klagomål.docx", "A 26568-2023")</f>
        <v/>
      </c>
      <c r="AB17">
        <f>HYPERLINK("https://klasma.github.io/Logging_1441/klagomålsmail/A 26568-2023 FSC-klagomål mail.docx", "A 26568-2023")</f>
        <v/>
      </c>
      <c r="AC17">
        <f>HYPERLINK("https://klasma.github.io/Logging_1441/tillsyn/A 26568-2023 tillsynsbegäran.docx", "A 26568-2023")</f>
        <v/>
      </c>
      <c r="AD17">
        <f>HYPERLINK("https://klasma.github.io/Logging_1441/tillsynsmail/A 26568-2023 tillsynsbegäran mail.docx", "A 26568-2023")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46305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46305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46305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46305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46305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46305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46305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46305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46305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29101-2022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44750</v>
      </c>
      <c r="E27" s="1" t="n">
        <v>46305</v>
      </c>
      <c r="F27" t="inlineStr">
        <is>
          <t>VÄSTRA GÖTALANDS LÄN</t>
        </is>
      </c>
      <c r="G27" t="inlineStr">
        <is>
          <t>LERUM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468-2022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44566</v>
      </c>
      <c r="E28" s="1" t="n">
        <v>46305</v>
      </c>
      <c r="F28" t="inlineStr">
        <is>
          <t>VÄSTRA GÖTALANDS LÄN</t>
        </is>
      </c>
      <c r="G28" t="inlineStr">
        <is>
          <t>LERUM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69614-2021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46305</v>
      </c>
      <c r="F29" t="inlineStr">
        <is>
          <t>VÄSTRA GÖTALANDS LÄN</t>
        </is>
      </c>
      <c r="G29" t="inlineStr">
        <is>
          <t>LERUM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69628-2021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46305</v>
      </c>
      <c r="F30" t="inlineStr">
        <is>
          <t>VÄSTRA GÖTALANDS LÄN</t>
        </is>
      </c>
      <c r="G30" t="inlineStr">
        <is>
          <t>LERUM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22240-2022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44712</v>
      </c>
      <c r="E31" s="1" t="n">
        <v>46305</v>
      </c>
      <c r="F31" t="inlineStr">
        <is>
          <t>VÄSTRA GÖTALANDS LÄN</t>
        </is>
      </c>
      <c r="G31" t="inlineStr">
        <is>
          <t>LERUM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46305</v>
      </c>
      <c r="F32" t="inlineStr">
        <is>
          <t>VÄSTRA GÖTALANDS LÄN</t>
        </is>
      </c>
      <c r="G32" t="inlineStr">
        <is>
          <t>LERUM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37441-2022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46305</v>
      </c>
      <c r="F33" t="inlineStr">
        <is>
          <t>VÄSTRA GÖTALANDS LÄN</t>
        </is>
      </c>
      <c r="G33" t="inlineStr">
        <is>
          <t>LERUM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7989-2024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45350</v>
      </c>
      <c r="E34" s="1" t="n">
        <v>46305</v>
      </c>
      <c r="F34" t="inlineStr">
        <is>
          <t>VÄSTRA GÖTALANDS LÄN</t>
        </is>
      </c>
      <c r="G34" t="inlineStr">
        <is>
          <t>LERUM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50405-2023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45216</v>
      </c>
      <c r="E35" s="1" t="n">
        <v>46305</v>
      </c>
      <c r="F35" t="inlineStr">
        <is>
          <t>VÄSTRA GÖTALANDS LÄN</t>
        </is>
      </c>
      <c r="G35" t="inlineStr">
        <is>
          <t>LERUM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50410-2023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46305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17071-2024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45412</v>
      </c>
      <c r="E37" s="1" t="n">
        <v>46305</v>
      </c>
      <c r="F37" t="inlineStr">
        <is>
          <t>VÄSTRA GÖTALANDS LÄN</t>
        </is>
      </c>
      <c r="G37" t="inlineStr">
        <is>
          <t>LERUM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28103-2022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44746</v>
      </c>
      <c r="E38" s="1" t="n">
        <v>46305</v>
      </c>
      <c r="F38" t="inlineStr">
        <is>
          <t>VÄSTRA GÖTALANDS LÄN</t>
        </is>
      </c>
      <c r="G38" t="inlineStr">
        <is>
          <t>LERUM</t>
        </is>
      </c>
      <c r="I38" t="n">
        <v>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40709-2023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46305</v>
      </c>
      <c r="F39" t="inlineStr">
        <is>
          <t>VÄSTRA GÖTALANDS LÄN</t>
        </is>
      </c>
      <c r="G39" t="inlineStr">
        <is>
          <t>LERUM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44828</v>
      </c>
      <c r="E40" s="1" t="n">
        <v>46305</v>
      </c>
      <c r="F40" t="inlineStr">
        <is>
          <t>VÄSTRA GÖTALANDS LÄN</t>
        </is>
      </c>
      <c r="G40" t="inlineStr">
        <is>
          <t>LERUM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14067-2024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45392</v>
      </c>
      <c r="E41" s="1" t="n">
        <v>46305</v>
      </c>
      <c r="F41" t="inlineStr">
        <is>
          <t>VÄSTRA GÖTALANDS LÄN</t>
        </is>
      </c>
      <c r="G41" t="inlineStr">
        <is>
          <t>LERUM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45345</v>
      </c>
      <c r="E42" s="1" t="n">
        <v>46305</v>
      </c>
      <c r="F42" t="inlineStr">
        <is>
          <t>VÄSTRA GÖTALANDS LÄN</t>
        </is>
      </c>
      <c r="G42" t="inlineStr">
        <is>
          <t>LERUM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46305</v>
      </c>
      <c r="F43" t="inlineStr">
        <is>
          <t>VÄSTRA GÖTALANDS LÄN</t>
        </is>
      </c>
      <c r="G43" t="inlineStr">
        <is>
          <t>LERUM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790-2024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45300</v>
      </c>
      <c r="E44" s="1" t="n">
        <v>46305</v>
      </c>
      <c r="F44" t="inlineStr">
        <is>
          <t>VÄSTRA GÖTALANDS LÄN</t>
        </is>
      </c>
      <c r="G44" t="inlineStr">
        <is>
          <t>LERUM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45588</v>
      </c>
      <c r="E45" s="1" t="n">
        <v>46305</v>
      </c>
      <c r="F45" t="inlineStr">
        <is>
          <t>VÄSTRA GÖTALANDS LÄN</t>
        </is>
      </c>
      <c r="G45" t="inlineStr">
        <is>
          <t>LERUM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47398-2024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45587</v>
      </c>
      <c r="E46" s="1" t="n">
        <v>46305</v>
      </c>
      <c r="F46" t="inlineStr">
        <is>
          <t>VÄSTRA GÖTALANDS LÄN</t>
        </is>
      </c>
      <c r="G46" t="inlineStr">
        <is>
          <t>LERUM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46305</v>
      </c>
      <c r="F47" t="inlineStr">
        <is>
          <t>VÄSTRA GÖTALANDS LÄN</t>
        </is>
      </c>
      <c r="G47" t="inlineStr">
        <is>
          <t>LERUM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46305</v>
      </c>
      <c r="F48" t="inlineStr">
        <is>
          <t>VÄSTRA GÖTALANDS LÄN</t>
        </is>
      </c>
      <c r="G48" t="inlineStr">
        <is>
          <t>LERUM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7990-2024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45350</v>
      </c>
      <c r="E49" s="1" t="n">
        <v>46305</v>
      </c>
      <c r="F49" t="inlineStr">
        <is>
          <t>VÄSTRA GÖTALANDS LÄN</t>
        </is>
      </c>
      <c r="G49" t="inlineStr">
        <is>
          <t>LERUM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40848-2025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45897</v>
      </c>
      <c r="E50" s="1" t="n">
        <v>46305</v>
      </c>
      <c r="F50" t="inlineStr">
        <is>
          <t>VÄSTRA GÖTALANDS LÄN</t>
        </is>
      </c>
      <c r="G50" t="inlineStr">
        <is>
          <t>LERUM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28118-2024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45476</v>
      </c>
      <c r="E51" s="1" t="n">
        <v>46305</v>
      </c>
      <c r="F51" t="inlineStr">
        <is>
          <t>VÄSTRA GÖTALANDS LÄN</t>
        </is>
      </c>
      <c r="G51" t="inlineStr">
        <is>
          <t>LERUM</t>
        </is>
      </c>
      <c r="I51" t="n">
        <v>7.2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28139-2024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45476</v>
      </c>
      <c r="E52" s="1" t="n">
        <v>46305</v>
      </c>
      <c r="F52" t="inlineStr">
        <is>
          <t>VÄSTRA GÖTALANDS LÄN</t>
        </is>
      </c>
      <c r="G52" t="inlineStr">
        <is>
          <t>LERUM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46305</v>
      </c>
      <c r="F53" t="inlineStr">
        <is>
          <t>VÄSTRA GÖTALANDS LÄN</t>
        </is>
      </c>
      <c r="G53" t="inlineStr">
        <is>
          <t>LERUM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45483-2025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46305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45132-2025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45919</v>
      </c>
      <c r="E55" s="1" t="n">
        <v>46305</v>
      </c>
      <c r="F55" t="inlineStr">
        <is>
          <t>VÄSTRA GÖTALANDS LÄN</t>
        </is>
      </c>
      <c r="G55" t="inlineStr">
        <is>
          <t>LERUM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46305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39113-2024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45548</v>
      </c>
      <c r="E57" s="1" t="n">
        <v>46305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46957-2025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45929</v>
      </c>
      <c r="E58" s="1" t="n">
        <v>46305</v>
      </c>
      <c r="F58" t="inlineStr">
        <is>
          <t>VÄSTRA GÖTALANDS LÄN</t>
        </is>
      </c>
      <c r="G58" t="inlineStr">
        <is>
          <t>LERUM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35199-2023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45145</v>
      </c>
      <c r="E59" s="1" t="n">
        <v>46305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46305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46305</v>
      </c>
      <c r="F61" t="inlineStr">
        <is>
          <t>VÄSTRA GÖTALANDS LÄN</t>
        </is>
      </c>
      <c r="G61" t="inlineStr">
        <is>
          <t>LERUM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66008-2021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46305</v>
      </c>
      <c r="F62" t="inlineStr">
        <is>
          <t>VÄSTRA GÖTALANDS LÄN</t>
        </is>
      </c>
      <c r="G62" t="inlineStr">
        <is>
          <t>LERUM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46305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46305</v>
      </c>
      <c r="F64" t="inlineStr">
        <is>
          <t>VÄSTRA GÖTALANDS LÄN</t>
        </is>
      </c>
      <c r="G64" t="inlineStr">
        <is>
          <t>LERUM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44805</v>
      </c>
      <c r="E65" s="1" t="n">
        <v>46305</v>
      </c>
      <c r="F65" t="inlineStr">
        <is>
          <t>VÄSTRA GÖTALANDS LÄN</t>
        </is>
      </c>
      <c r="G65" t="inlineStr">
        <is>
          <t>LERUM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46305</v>
      </c>
      <c r="F66" t="inlineStr">
        <is>
          <t>VÄSTRA GÖTALANDS LÄN</t>
        </is>
      </c>
      <c r="G66" t="inlineStr">
        <is>
          <t>LERUM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46305</v>
      </c>
      <c r="F67" t="inlineStr">
        <is>
          <t>VÄSTRA GÖTALANDS LÄN</t>
        </is>
      </c>
      <c r="G67" t="inlineStr">
        <is>
          <t>LERUM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44943</v>
      </c>
      <c r="E68" s="1" t="n">
        <v>46305</v>
      </c>
      <c r="F68" t="inlineStr">
        <is>
          <t>VÄSTRA GÖTALANDS LÄN</t>
        </is>
      </c>
      <c r="G68" t="inlineStr">
        <is>
          <t>LERUM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46305</v>
      </c>
      <c r="F69" t="inlineStr">
        <is>
          <t>VÄSTRA GÖTALANDS LÄN</t>
        </is>
      </c>
      <c r="G69" t="inlineStr">
        <is>
          <t>LERUM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46305</v>
      </c>
      <c r="F70" t="inlineStr">
        <is>
          <t>VÄSTRA GÖTALANDS LÄN</t>
        </is>
      </c>
      <c r="G70" t="inlineStr">
        <is>
          <t>LERUM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46305</v>
      </c>
      <c r="F71" t="inlineStr">
        <is>
          <t>VÄSTRA GÖTALANDS LÄN</t>
        </is>
      </c>
      <c r="G71" t="inlineStr">
        <is>
          <t>LERUM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46305</v>
      </c>
      <c r="F72" t="inlineStr">
        <is>
          <t>VÄSTRA GÖTALANDS LÄN</t>
        </is>
      </c>
      <c r="G72" t="inlineStr">
        <is>
          <t>LERUM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45055</v>
      </c>
      <c r="E73" s="1" t="n">
        <v>46305</v>
      </c>
      <c r="F73" t="inlineStr">
        <is>
          <t>VÄSTRA GÖTALANDS LÄN</t>
        </is>
      </c>
      <c r="G73" t="inlineStr">
        <is>
          <t>LERUM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27367-2025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45812</v>
      </c>
      <c r="E74" s="1" t="n">
        <v>46305</v>
      </c>
      <c r="F74" t="inlineStr">
        <is>
          <t>VÄSTRA GÖTALANDS LÄN</t>
        </is>
      </c>
      <c r="G74" t="inlineStr">
        <is>
          <t>LERUM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42526-2024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45565</v>
      </c>
      <c r="E75" s="1" t="n">
        <v>46305</v>
      </c>
      <c r="F75" t="inlineStr">
        <is>
          <t>VÄSTRA GÖTALANDS LÄN</t>
        </is>
      </c>
      <c r="G75" t="inlineStr">
        <is>
          <t>LERUM</t>
        </is>
      </c>
      <c r="H75" t="inlineStr">
        <is>
          <t>Kyrkan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50397-2023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46305</v>
      </c>
      <c r="F76" t="inlineStr">
        <is>
          <t>VÄSTRA GÖTALANDS LÄN</t>
        </is>
      </c>
      <c r="G76" t="inlineStr">
        <is>
          <t>LERUM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16648-2023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45028</v>
      </c>
      <c r="E77" s="1" t="n">
        <v>46305</v>
      </c>
      <c r="F77" t="inlineStr">
        <is>
          <t>VÄSTRA GÖTALANDS LÄN</t>
        </is>
      </c>
      <c r="G77" t="inlineStr">
        <is>
          <t>LERUM</t>
        </is>
      </c>
      <c r="H77" t="inlineStr">
        <is>
          <t>Kyrkan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32095-2025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45835</v>
      </c>
      <c r="E78" s="1" t="n">
        <v>46305</v>
      </c>
      <c r="F78" t="inlineStr">
        <is>
          <t>VÄSTRA GÖTALANDS LÄN</t>
        </is>
      </c>
      <c r="G78" t="inlineStr">
        <is>
          <t>LERUM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45835</v>
      </c>
      <c r="E79" s="1" t="n">
        <v>46305</v>
      </c>
      <c r="F79" t="inlineStr">
        <is>
          <t>VÄSTRA GÖTALANDS LÄN</t>
        </is>
      </c>
      <c r="G79" t="inlineStr">
        <is>
          <t>LERUM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13156-2024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45386</v>
      </c>
      <c r="E80" s="1" t="n">
        <v>46305</v>
      </c>
      <c r="F80" t="inlineStr">
        <is>
          <t>VÄSTRA GÖTALANDS LÄN</t>
        </is>
      </c>
      <c r="G80" t="inlineStr">
        <is>
          <t>LERUM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55429-2025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46305</v>
      </c>
      <c r="F81" t="inlineStr">
        <is>
          <t>VÄSTRA GÖTALANDS LÄN</t>
        </is>
      </c>
      <c r="G81" t="inlineStr">
        <is>
          <t>LERUM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44710</v>
      </c>
      <c r="E82" s="1" t="n">
        <v>46305</v>
      </c>
      <c r="F82" t="inlineStr">
        <is>
          <t>VÄSTRA GÖTALANDS LÄN</t>
        </is>
      </c>
      <c r="G82" t="inlineStr">
        <is>
          <t>LERUM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46305</v>
      </c>
      <c r="F83" t="inlineStr">
        <is>
          <t>VÄSTRA GÖTALANDS LÄN</t>
        </is>
      </c>
      <c r="G83" t="inlineStr">
        <is>
          <t>LERUM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58042-2025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45982</v>
      </c>
      <c r="E84" s="1" t="n">
        <v>46305</v>
      </c>
      <c r="F84" t="inlineStr">
        <is>
          <t>VÄSTRA GÖTALANDS LÄN</t>
        </is>
      </c>
      <c r="G84" t="inlineStr">
        <is>
          <t>LERUM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21133-2022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44704</v>
      </c>
      <c r="E85" s="1" t="n">
        <v>46305</v>
      </c>
      <c r="F85" t="inlineStr">
        <is>
          <t>VÄSTRA GÖTALANDS LÄN</t>
        </is>
      </c>
      <c r="G85" t="inlineStr">
        <is>
          <t>LERUM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24163-2024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45441</v>
      </c>
      <c r="E86" s="1" t="n">
        <v>46305</v>
      </c>
      <c r="F86" t="inlineStr">
        <is>
          <t>VÄSTRA GÖTALANDS LÄN</t>
        </is>
      </c>
      <c r="G86" t="inlineStr">
        <is>
          <t>LERUM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19238-2026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46132</v>
      </c>
      <c r="E87" s="1" t="n">
        <v>46305</v>
      </c>
      <c r="F87" t="inlineStr">
        <is>
          <t>VÄSTRA GÖTALANDS LÄN</t>
        </is>
      </c>
      <c r="G87" t="inlineStr">
        <is>
          <t>LERUM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46305</v>
      </c>
      <c r="F88" t="inlineStr">
        <is>
          <t>VÄSTRA GÖTALANDS LÄN</t>
        </is>
      </c>
      <c r="G88" t="inlineStr">
        <is>
          <t>LERUM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46305</v>
      </c>
      <c r="F89" t="inlineStr">
        <is>
          <t>VÄSTRA GÖTALANDS LÄN</t>
        </is>
      </c>
      <c r="G89" t="inlineStr">
        <is>
          <t>LERUM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46305</v>
      </c>
      <c r="F90" t="inlineStr">
        <is>
          <t>VÄSTRA GÖTALANDS LÄN</t>
        </is>
      </c>
      <c r="G90" t="inlineStr">
        <is>
          <t>LERUM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46305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46305</v>
      </c>
      <c r="F92" t="inlineStr">
        <is>
          <t>VÄSTRA GÖTALANDS LÄN</t>
        </is>
      </c>
      <c r="G92" t="inlineStr">
        <is>
          <t>LERUM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45329</v>
      </c>
      <c r="E93" s="1" t="n">
        <v>46305</v>
      </c>
      <c r="F93" t="inlineStr">
        <is>
          <t>VÄSTRA GÖTALANDS LÄN</t>
        </is>
      </c>
      <c r="G93" t="inlineStr">
        <is>
          <t>LERUM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46305</v>
      </c>
      <c r="F94" t="inlineStr">
        <is>
          <t>VÄSTRA GÖTALANDS LÄN</t>
        </is>
      </c>
      <c r="G94" t="inlineStr">
        <is>
          <t>LERUM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45723</v>
      </c>
      <c r="E95" s="1" t="n">
        <v>46305</v>
      </c>
      <c r="F95" t="inlineStr">
        <is>
          <t>VÄSTRA GÖTALANDS LÄN</t>
        </is>
      </c>
      <c r="G95" t="inlineStr">
        <is>
          <t>LERUM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46305</v>
      </c>
      <c r="F96" t="inlineStr">
        <is>
          <t>VÄSTRA GÖTALANDS LÄN</t>
        </is>
      </c>
      <c r="G96" t="inlineStr">
        <is>
          <t>LERUM</t>
        </is>
      </c>
      <c r="I96" t="n">
        <v>23.3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46305</v>
      </c>
      <c r="F97" t="inlineStr">
        <is>
          <t>VÄSTRA GÖTALANDS LÄN</t>
        </is>
      </c>
      <c r="G97" t="inlineStr">
        <is>
          <t>LERUM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31687-2025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45834</v>
      </c>
      <c r="E98" s="1" t="n">
        <v>46305</v>
      </c>
      <c r="F98" t="inlineStr">
        <is>
          <t>VÄSTRA GÖTALANDS LÄN</t>
        </is>
      </c>
      <c r="G98" t="inlineStr">
        <is>
          <t>LERUM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46034</v>
      </c>
      <c r="E99" s="1" t="n">
        <v>46305</v>
      </c>
      <c r="F99" t="inlineStr">
        <is>
          <t>VÄSTRA GÖTALANDS LÄN</t>
        </is>
      </c>
      <c r="G99" t="inlineStr">
        <is>
          <t>LERUM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46305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46305</v>
      </c>
      <c r="F101" t="inlineStr">
        <is>
          <t>VÄSTRA GÖTALANDS LÄN</t>
        </is>
      </c>
      <c r="G101" t="inlineStr">
        <is>
          <t>LERUM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47944-2024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46305</v>
      </c>
      <c r="F102" t="inlineStr">
        <is>
          <t>VÄSTRA GÖTALANDS LÄN</t>
        </is>
      </c>
      <c r="G102" t="inlineStr">
        <is>
          <t>LERUM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44959</v>
      </c>
      <c r="E103" s="1" t="n">
        <v>46305</v>
      </c>
      <c r="F103" t="inlineStr">
        <is>
          <t>VÄSTRA GÖTALANDS LÄN</t>
        </is>
      </c>
      <c r="G103" t="inlineStr">
        <is>
          <t>LERUM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11232-2025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45726</v>
      </c>
      <c r="E104" s="1" t="n">
        <v>46305</v>
      </c>
      <c r="F104" t="inlineStr">
        <is>
          <t>VÄSTRA GÖTALANDS LÄN</t>
        </is>
      </c>
      <c r="G104" t="inlineStr">
        <is>
          <t>LERUM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46305</v>
      </c>
      <c r="F105" t="inlineStr">
        <is>
          <t>VÄSTRA GÖTALANDS LÄN</t>
        </is>
      </c>
      <c r="G105" t="inlineStr">
        <is>
          <t>LERUM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45817</v>
      </c>
      <c r="E106" s="1" t="n">
        <v>46305</v>
      </c>
      <c r="F106" t="inlineStr">
        <is>
          <t>VÄSTRA GÖTALANDS LÄN</t>
        </is>
      </c>
      <c r="G106" t="inlineStr">
        <is>
          <t>LERUM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46206</v>
      </c>
      <c r="E107" s="1" t="n">
        <v>46305</v>
      </c>
      <c r="F107" t="inlineStr">
        <is>
          <t>VÄSTRA GÖTALANDS LÄN</t>
        </is>
      </c>
      <c r="G107" t="inlineStr">
        <is>
          <t>LERUM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37639-2026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46276</v>
      </c>
      <c r="E108" s="1" t="n">
        <v>46305</v>
      </c>
      <c r="F108" t="inlineStr">
        <is>
          <t>VÄSTRA GÖTALANDS LÄN</t>
        </is>
      </c>
      <c r="G108" t="inlineStr">
        <is>
          <t>LERUM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46305</v>
      </c>
      <c r="F109" t="inlineStr">
        <is>
          <t>VÄSTRA GÖTALANDS LÄN</t>
        </is>
      </c>
      <c r="G109" t="inlineStr">
        <is>
          <t>LERUM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46290</v>
      </c>
      <c r="E110" s="1" t="n">
        <v>46305</v>
      </c>
      <c r="F110" t="inlineStr">
        <is>
          <t>VÄSTRA GÖTALANDS LÄN</t>
        </is>
      </c>
      <c r="G110" t="inlineStr">
        <is>
          <t>LERUM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46305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46305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2026-10-10T02:00:55Z</dcterms:created>
  <dcterms:modified xmlns:dcterms="http://purl.org/dc/terms/" xmlns:xsi="http://www.w3.org/2001/XMLSchema-instance" xsi:type="dcterms:W3CDTF">2026-10-10T02:00:55Z</dcterms:modified>
</cp:coreProperties>
</file>