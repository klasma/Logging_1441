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45627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45627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45627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45627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24713-2019</t>
        </is>
      </c>
      <c r="B6" s="1" t="n">
        <v>43601</v>
      </c>
      <c r="C6" s="1" t="n">
        <v>45627</v>
      </c>
      <c r="D6" t="inlineStr">
        <is>
          <t>VÄSTRA GÖTALANDS LÄN</t>
        </is>
      </c>
      <c r="E6" t="inlineStr">
        <is>
          <t>LERUM</t>
        </is>
      </c>
      <c r="G6" t="n">
        <v>2.8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Svartvit taggsvamp</t>
        </is>
      </c>
      <c r="S6">
        <f>HYPERLINK("https://klasma.github.io/Logging_1441/artfynd/A 24713-2019 artfynd.xlsx", "A 24713-2019")</f>
        <v/>
      </c>
      <c r="T6">
        <f>HYPERLINK("https://klasma.github.io/Logging_1441/kartor/A 24713-2019 karta.png", "A 24713-2019")</f>
        <v/>
      </c>
      <c r="V6">
        <f>HYPERLINK("https://klasma.github.io/Logging_1441/klagomål/A 24713-2019 FSC-klagomål.docx", "A 24713-2019")</f>
        <v/>
      </c>
      <c r="W6">
        <f>HYPERLINK("https://klasma.github.io/Logging_1441/klagomålsmail/A 24713-2019 FSC-klagomål mail.docx", "A 24713-2019")</f>
        <v/>
      </c>
      <c r="X6">
        <f>HYPERLINK("https://klasma.github.io/Logging_1441/tillsyn/A 24713-2019 tillsynsbegäran.docx", "A 24713-2019")</f>
        <v/>
      </c>
      <c r="Y6">
        <f>HYPERLINK("https://klasma.github.io/Logging_1441/tillsynsmail/A 24713-2019 tillsynsbegäran mail.docx", "A 24713-2019")</f>
        <v/>
      </c>
    </row>
    <row r="7" ht="15" customHeight="1">
      <c r="A7" t="inlineStr">
        <is>
          <t>A 22268-2022</t>
        </is>
      </c>
      <c r="B7" s="1" t="n">
        <v>44712</v>
      </c>
      <c r="C7" s="1" t="n">
        <v>45627</v>
      </c>
      <c r="D7" t="inlineStr">
        <is>
          <t>VÄSTRA GÖTALANDS LÄN</t>
        </is>
      </c>
      <c r="E7" t="inlineStr">
        <is>
          <t>LERUM</t>
        </is>
      </c>
      <c r="G7" t="n">
        <v>16.6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Havstulpanlav
Stubbspretmossa</t>
        </is>
      </c>
      <c r="S7">
        <f>HYPERLINK("https://klasma.github.io/Logging_1441/artfynd/A 22268-2022 artfynd.xlsx", "A 22268-2022")</f>
        <v/>
      </c>
      <c r="T7">
        <f>HYPERLINK("https://klasma.github.io/Logging_1441/kartor/A 22268-2022 karta.png", "A 22268-2022")</f>
        <v/>
      </c>
      <c r="V7">
        <f>HYPERLINK("https://klasma.github.io/Logging_1441/klagomål/A 22268-2022 FSC-klagomål.docx", "A 22268-2022")</f>
        <v/>
      </c>
      <c r="W7">
        <f>HYPERLINK("https://klasma.github.io/Logging_1441/klagomålsmail/A 22268-2022 FSC-klagomål mail.docx", "A 22268-2022")</f>
        <v/>
      </c>
      <c r="X7">
        <f>HYPERLINK("https://klasma.github.io/Logging_1441/tillsyn/A 22268-2022 tillsynsbegäran.docx", "A 22268-2022")</f>
        <v/>
      </c>
      <c r="Y7">
        <f>HYPERLINK("https://klasma.github.io/Logging_1441/tillsynsmail/A 22268-2022 tillsynsbegäran mail.docx", "A 22268-2022")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45627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3543-2024</t>
        </is>
      </c>
      <c r="B9" s="1" t="n">
        <v>45320</v>
      </c>
      <c r="C9" s="1" t="n">
        <v>45627</v>
      </c>
      <c r="D9" t="inlineStr">
        <is>
          <t>VÄSTRA GÖTALANDS LÄN</t>
        </is>
      </c>
      <c r="E9" t="inlineStr">
        <is>
          <t>LERUM</t>
        </is>
      </c>
      <c r="G9" t="n">
        <v>3.9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Dolkstekelsglasvinge</t>
        </is>
      </c>
      <c r="S9">
        <f>HYPERLINK("https://klasma.github.io/Logging_1441/artfynd/A 3543-2024 artfynd.xlsx", "A 3543-2024")</f>
        <v/>
      </c>
      <c r="T9">
        <f>HYPERLINK("https://klasma.github.io/Logging_1441/kartor/A 3543-2024 karta.png", "A 3543-2024")</f>
        <v/>
      </c>
      <c r="V9">
        <f>HYPERLINK("https://klasma.github.io/Logging_1441/klagomål/A 3543-2024 FSC-klagomål.docx", "A 3543-2024")</f>
        <v/>
      </c>
      <c r="W9">
        <f>HYPERLINK("https://klasma.github.io/Logging_1441/klagomålsmail/A 3543-2024 FSC-klagomål mail.docx", "A 3543-2024")</f>
        <v/>
      </c>
      <c r="X9">
        <f>HYPERLINK("https://klasma.github.io/Logging_1441/tillsyn/A 3543-2024 tillsynsbegäran.docx", "A 3543-2024")</f>
        <v/>
      </c>
      <c r="Y9">
        <f>HYPERLINK("https://klasma.github.io/Logging_1441/tillsynsmail/A 3543-2024 tillsynsbegäran mail.docx", "A 3543-2024")</f>
        <v/>
      </c>
      <c r="Z9">
        <f>HYPERLINK("https://klasma.github.io/Logging_1441/fåglar/A 3543-2024 prioriterade fågelarter.docx", "A 3543-2024")</f>
        <v/>
      </c>
    </row>
    <row r="10" ht="15" customHeight="1">
      <c r="A10" t="inlineStr">
        <is>
          <t>A 40799-2020</t>
        </is>
      </c>
      <c r="B10" s="1" t="n">
        <v>44070</v>
      </c>
      <c r="C10" s="1" t="n">
        <v>45627</v>
      </c>
      <c r="D10" t="inlineStr">
        <is>
          <t>VÄSTRA GÖTALANDS LÄN</t>
        </is>
      </c>
      <c r="E10" t="inlineStr">
        <is>
          <t>LERUM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HYPERLINK("https://klasma.github.io/Logging_1441/artfynd/A 40799-2020 artfynd.xlsx", "A 40799-2020")</f>
        <v/>
      </c>
      <c r="T10">
        <f>HYPERLINK("https://klasma.github.io/Logging_1441/kartor/A 40799-2020 karta.png", "A 40799-2020")</f>
        <v/>
      </c>
      <c r="U10">
        <f>HYPERLINK("https://klasma.github.io/Logging_1441/knärot/A 40799-2020 karta knärot.png", "A 40799-2020")</f>
        <v/>
      </c>
      <c r="V10">
        <f>HYPERLINK("https://klasma.github.io/Logging_1441/klagomål/A 40799-2020 FSC-klagomål.docx", "A 40799-2020")</f>
        <v/>
      </c>
      <c r="W10">
        <f>HYPERLINK("https://klasma.github.io/Logging_1441/klagomålsmail/A 40799-2020 FSC-klagomål mail.docx", "A 40799-2020")</f>
        <v/>
      </c>
      <c r="X10">
        <f>HYPERLINK("https://klasma.github.io/Logging_1441/tillsyn/A 40799-2020 tillsynsbegäran.docx", "A 40799-2020")</f>
        <v/>
      </c>
      <c r="Y10">
        <f>HYPERLINK("https://klasma.github.io/Logging_1441/tillsynsmail/A 40799-2020 tillsynsbegäran mail.docx", "A 40799-2020")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45627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52973-2022</t>
        </is>
      </c>
      <c r="B12" s="1" t="n">
        <v>44875</v>
      </c>
      <c r="C12" s="1" t="n">
        <v>45627</v>
      </c>
      <c r="D12" t="inlineStr">
        <is>
          <t>VÄSTRA GÖTALANDS LÄN</t>
        </is>
      </c>
      <c r="E12" t="inlineStr">
        <is>
          <t>LERUM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HYPERLINK("https://klasma.github.io/Logging_1441/artfynd/A 52973-2022 artfynd.xlsx", "A 52973-2022")</f>
        <v/>
      </c>
      <c r="T12">
        <f>HYPERLINK("https://klasma.github.io/Logging_1441/kartor/A 52973-2022 karta.png", "A 52973-2022")</f>
        <v/>
      </c>
      <c r="V12">
        <f>HYPERLINK("https://klasma.github.io/Logging_1441/klagomål/A 52973-2022 FSC-klagomål.docx", "A 52973-2022")</f>
        <v/>
      </c>
      <c r="W12">
        <f>HYPERLINK("https://klasma.github.io/Logging_1441/klagomålsmail/A 52973-2022 FSC-klagomål mail.docx", "A 52973-2022")</f>
        <v/>
      </c>
      <c r="X12">
        <f>HYPERLINK("https://klasma.github.io/Logging_1441/tillsyn/A 52973-2022 tillsynsbegäran.docx", "A 52973-2022")</f>
        <v/>
      </c>
      <c r="Y12">
        <f>HYPERLINK("https://klasma.github.io/Logging_1441/tillsynsmail/A 52973-2022 tillsynsbegäran mail.docx", "A 52973-2022")</f>
        <v/>
      </c>
    </row>
    <row r="13" ht="15" customHeight="1">
      <c r="A13" t="inlineStr">
        <is>
          <t>A 56911-2022</t>
        </is>
      </c>
      <c r="B13" s="1" t="n">
        <v>44894</v>
      </c>
      <c r="C13" s="1" t="n">
        <v>45627</v>
      </c>
      <c r="D13" t="inlineStr">
        <is>
          <t>VÄSTRA GÖTALANDS LÄN</t>
        </is>
      </c>
      <c r="E13" t="inlineStr">
        <is>
          <t>LERUM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HYPERLINK("https://klasma.github.io/Logging_1441/artfynd/A 56911-2022 artfynd.xlsx", "A 56911-2022")</f>
        <v/>
      </c>
      <c r="T13">
        <f>HYPERLINK("https://klasma.github.io/Logging_1441/kartor/A 56911-2022 karta.png", "A 56911-2022")</f>
        <v/>
      </c>
      <c r="V13">
        <f>HYPERLINK("https://klasma.github.io/Logging_1441/klagomål/A 56911-2022 FSC-klagomål.docx", "A 56911-2022")</f>
        <v/>
      </c>
      <c r="W13">
        <f>HYPERLINK("https://klasma.github.io/Logging_1441/klagomålsmail/A 56911-2022 FSC-klagomål mail.docx", "A 56911-2022")</f>
        <v/>
      </c>
      <c r="X13">
        <f>HYPERLINK("https://klasma.github.io/Logging_1441/tillsyn/A 56911-2022 tillsynsbegäran.docx", "A 56911-2022")</f>
        <v/>
      </c>
      <c r="Y13">
        <f>HYPERLINK("https://klasma.github.io/Logging_1441/tillsynsmail/A 56911-2022 tillsynsbegäran mail.docx", "A 56911-2022")</f>
        <v/>
      </c>
      <c r="Z13">
        <f>HYPERLINK("https://klasma.github.io/Logging_1441/fåglar/A 56911-2022 prioriterade fågelarter.docx", "A 56911-2022")</f>
        <v/>
      </c>
    </row>
    <row r="14" ht="15" customHeight="1">
      <c r="A14" t="inlineStr">
        <is>
          <t>A 2438-2023</t>
        </is>
      </c>
      <c r="B14" s="1" t="n">
        <v>44943</v>
      </c>
      <c r="C14" s="1" t="n">
        <v>45627</v>
      </c>
      <c r="D14" t="inlineStr">
        <is>
          <t>VÄSTRA GÖTALANDS LÄN</t>
        </is>
      </c>
      <c r="E14" t="inlineStr">
        <is>
          <t>LERUM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HYPERLINK("https://klasma.github.io/Logging_1441/artfynd/A 2438-2023 artfynd.xlsx", "A 2438-2023")</f>
        <v/>
      </c>
      <c r="T14">
        <f>HYPERLINK("https://klasma.github.io/Logging_1441/kartor/A 2438-2023 karta.png", "A 2438-2023")</f>
        <v/>
      </c>
      <c r="V14">
        <f>HYPERLINK("https://klasma.github.io/Logging_1441/klagomål/A 2438-2023 FSC-klagomål.docx", "A 2438-2023")</f>
        <v/>
      </c>
      <c r="W14">
        <f>HYPERLINK("https://klasma.github.io/Logging_1441/klagomålsmail/A 2438-2023 FSC-klagomål mail.docx", "A 2438-2023")</f>
        <v/>
      </c>
      <c r="X14">
        <f>HYPERLINK("https://klasma.github.io/Logging_1441/tillsyn/A 2438-2023 tillsynsbegäran.docx", "A 2438-2023")</f>
        <v/>
      </c>
      <c r="Y14">
        <f>HYPERLINK("https://klasma.github.io/Logging_1441/tillsynsmail/A 2438-2023 tillsynsbegäran mail.docx", "A 2438-2023")</f>
        <v/>
      </c>
    </row>
    <row r="15" ht="15" customHeight="1">
      <c r="A15" t="inlineStr">
        <is>
          <t>A 2447-2023</t>
        </is>
      </c>
      <c r="B15" s="1" t="n">
        <v>44943</v>
      </c>
      <c r="C15" s="1" t="n">
        <v>45627</v>
      </c>
      <c r="D15" t="inlineStr">
        <is>
          <t>VÄSTRA GÖTALANDS LÄN</t>
        </is>
      </c>
      <c r="E15" t="inlineStr">
        <is>
          <t>LERUM</t>
        </is>
      </c>
      <c r="G15" t="n">
        <v>3.6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Dolkstekelsglasvinge</t>
        </is>
      </c>
      <c r="S15">
        <f>HYPERLINK("https://klasma.github.io/Logging_1441/artfynd/A 2447-2023 artfynd.xlsx", "A 2447-2023")</f>
        <v/>
      </c>
      <c r="T15">
        <f>HYPERLINK("https://klasma.github.io/Logging_1441/kartor/A 2447-2023 karta.png", "A 2447-2023")</f>
        <v/>
      </c>
      <c r="V15">
        <f>HYPERLINK("https://klasma.github.io/Logging_1441/klagomål/A 2447-2023 FSC-klagomål.docx", "A 2447-2023")</f>
        <v/>
      </c>
      <c r="W15">
        <f>HYPERLINK("https://klasma.github.io/Logging_1441/klagomålsmail/A 2447-2023 FSC-klagomål mail.docx", "A 2447-2023")</f>
        <v/>
      </c>
      <c r="X15">
        <f>HYPERLINK("https://klasma.github.io/Logging_1441/tillsyn/A 2447-2023 tillsynsbegäran.docx", "A 2447-2023")</f>
        <v/>
      </c>
      <c r="Y15">
        <f>HYPERLINK("https://klasma.github.io/Logging_1441/tillsynsmail/A 2447-2023 tillsynsbegäran mail.docx", "A 2447-2023")</f>
        <v/>
      </c>
    </row>
    <row r="16" ht="15" customHeight="1">
      <c r="A16" t="inlineStr">
        <is>
          <t>A 2443-2023</t>
        </is>
      </c>
      <c r="B16" s="1" t="n">
        <v>44943</v>
      </c>
      <c r="C16" s="1" t="n">
        <v>45627</v>
      </c>
      <c r="D16" t="inlineStr">
        <is>
          <t>VÄSTRA GÖTALANDS LÄN</t>
        </is>
      </c>
      <c r="E16" t="inlineStr">
        <is>
          <t>LERUM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HYPERLINK("https://klasma.github.io/Logging_1441/artfynd/A 2443-2023 artfynd.xlsx", "A 2443-2023")</f>
        <v/>
      </c>
      <c r="T16">
        <f>HYPERLINK("https://klasma.github.io/Logging_1441/kartor/A 2443-2023 karta.png", "A 2443-2023")</f>
        <v/>
      </c>
      <c r="V16">
        <f>HYPERLINK("https://klasma.github.io/Logging_1441/klagomål/A 2443-2023 FSC-klagomål.docx", "A 2443-2023")</f>
        <v/>
      </c>
      <c r="W16">
        <f>HYPERLINK("https://klasma.github.io/Logging_1441/klagomålsmail/A 2443-2023 FSC-klagomål mail.docx", "A 2443-2023")</f>
        <v/>
      </c>
      <c r="X16">
        <f>HYPERLINK("https://klasma.github.io/Logging_1441/tillsyn/A 2443-2023 tillsynsbegäran.docx", "A 2443-2023")</f>
        <v/>
      </c>
      <c r="Y16">
        <f>HYPERLINK("https://klasma.github.io/Logging_1441/tillsynsmail/A 2443-2023 tillsynsbegäran mail.docx", "A 2443-2023")</f>
        <v/>
      </c>
    </row>
    <row r="17" ht="15" customHeight="1">
      <c r="A17" t="inlineStr">
        <is>
          <t>A 50502-2024</t>
        </is>
      </c>
      <c r="B17" s="1" t="n">
        <v>45601</v>
      </c>
      <c r="C17" s="1" t="n">
        <v>45627</v>
      </c>
      <c r="D17" t="inlineStr">
        <is>
          <t>VÄSTRA GÖTALANDS LÄN</t>
        </is>
      </c>
      <c r="E17" t="inlineStr">
        <is>
          <t>LERUM</t>
        </is>
      </c>
      <c r="G17" t="n">
        <v>7.5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HYPERLINK("https://klasma.github.io/Logging_1441/artfynd/A 50502-2024 artfynd.xlsx", "A 50502-2024")</f>
        <v/>
      </c>
      <c r="T17">
        <f>HYPERLINK("https://klasma.github.io/Logging_1441/kartor/A 50502-2024 karta.png", "A 50502-2024")</f>
        <v/>
      </c>
      <c r="V17">
        <f>HYPERLINK("https://klasma.github.io/Logging_1441/klagomål/A 50502-2024 FSC-klagomål.docx", "A 50502-2024")</f>
        <v/>
      </c>
      <c r="W17">
        <f>HYPERLINK("https://klasma.github.io/Logging_1441/klagomålsmail/A 50502-2024 FSC-klagomål mail.docx", "A 50502-2024")</f>
        <v/>
      </c>
      <c r="X17">
        <f>HYPERLINK("https://klasma.github.io/Logging_1441/tillsyn/A 50502-2024 tillsynsbegäran.docx", "A 50502-2024")</f>
        <v/>
      </c>
      <c r="Y17">
        <f>HYPERLINK("https://klasma.github.io/Logging_1441/tillsynsmail/A 50502-2024 tillsynsbegäran mail.docx", "A 50502-2024")</f>
        <v/>
      </c>
    </row>
    <row r="18" ht="15" customHeight="1">
      <c r="A18" t="inlineStr">
        <is>
          <t>A 19842-2019</t>
        </is>
      </c>
      <c r="B18" s="1" t="n">
        <v>43567</v>
      </c>
      <c r="C18" s="1" t="n">
        <v>45627</v>
      </c>
      <c r="D18" t="inlineStr">
        <is>
          <t>VÄSTRA GÖTALANDS LÄN</t>
        </is>
      </c>
      <c r="E18" t="inlineStr">
        <is>
          <t>LERUM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29684-2019</t>
        </is>
      </c>
      <c r="B19" s="1" t="n">
        <v>43630</v>
      </c>
      <c r="C19" s="1" t="n">
        <v>45627</v>
      </c>
      <c r="D19" t="inlineStr">
        <is>
          <t>VÄSTRA GÖTALANDS LÄN</t>
        </is>
      </c>
      <c r="E19" t="inlineStr">
        <is>
          <t>LERUM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32709-2019</t>
        </is>
      </c>
      <c r="B20" s="1" t="n">
        <v>43647</v>
      </c>
      <c r="C20" s="1" t="n">
        <v>45627</v>
      </c>
      <c r="D20" t="inlineStr">
        <is>
          <t>VÄSTRA GÖTALANDS LÄN</t>
        </is>
      </c>
      <c r="E20" t="inlineStr">
        <is>
          <t>LERUM</t>
        </is>
      </c>
      <c r="G20" t="n">
        <v>7.6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40566-2019</t>
        </is>
      </c>
      <c r="B21" s="1" t="n">
        <v>43696</v>
      </c>
      <c r="C21" s="1" t="n">
        <v>45627</v>
      </c>
      <c r="D21" t="inlineStr">
        <is>
          <t>VÄSTRA GÖTALANDS LÄN</t>
        </is>
      </c>
      <c r="E21" t="inlineStr">
        <is>
          <t>LERUM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40575-2019</t>
        </is>
      </c>
      <c r="B22" s="1" t="n">
        <v>43696</v>
      </c>
      <c r="C22" s="1" t="n">
        <v>45627</v>
      </c>
      <c r="D22" t="inlineStr">
        <is>
          <t>VÄSTRA GÖTALANDS LÄN</t>
        </is>
      </c>
      <c r="E22" t="inlineStr">
        <is>
          <t>LERUM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49519-2019</t>
        </is>
      </c>
      <c r="B23" s="1" t="n">
        <v>43732</v>
      </c>
      <c r="C23" s="1" t="n">
        <v>45627</v>
      </c>
      <c r="D23" t="inlineStr">
        <is>
          <t>VÄSTRA GÖTALANDS LÄN</t>
        </is>
      </c>
      <c r="E23" t="inlineStr">
        <is>
          <t>LERUM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57536-2019</t>
        </is>
      </c>
      <c r="B24" s="1" t="n">
        <v>43767</v>
      </c>
      <c r="C24" s="1" t="n">
        <v>45627</v>
      </c>
      <c r="D24" t="inlineStr">
        <is>
          <t>VÄSTRA GÖTALANDS LÄN</t>
        </is>
      </c>
      <c r="E24" t="inlineStr">
        <is>
          <t>LERUM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62261-2019</t>
        </is>
      </c>
      <c r="B25" s="1" t="n">
        <v>43788</v>
      </c>
      <c r="C25" s="1" t="n">
        <v>45627</v>
      </c>
      <c r="D25" t="inlineStr">
        <is>
          <t>VÄSTRA GÖTALANDS LÄN</t>
        </is>
      </c>
      <c r="E25" t="inlineStr">
        <is>
          <t>LERUM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148-2020</t>
        </is>
      </c>
      <c r="B26" s="1" t="n">
        <v>43833</v>
      </c>
      <c r="C26" s="1" t="n">
        <v>45627</v>
      </c>
      <c r="D26" t="inlineStr">
        <is>
          <t>VÄSTRA GÖTALANDS LÄN</t>
        </is>
      </c>
      <c r="E26" t="inlineStr">
        <is>
          <t>LERUM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185-2020</t>
        </is>
      </c>
      <c r="B27" s="1" t="n">
        <v>43833</v>
      </c>
      <c r="C27" s="1" t="n">
        <v>45627</v>
      </c>
      <c r="D27" t="inlineStr">
        <is>
          <t>VÄSTRA GÖTALANDS LÄN</t>
        </is>
      </c>
      <c r="E27" t="inlineStr">
        <is>
          <t>LERUM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190-2020</t>
        </is>
      </c>
      <c r="B28" s="1" t="n">
        <v>43833</v>
      </c>
      <c r="C28" s="1" t="n">
        <v>45627</v>
      </c>
      <c r="D28" t="inlineStr">
        <is>
          <t>VÄSTRA GÖTALANDS LÄN</t>
        </is>
      </c>
      <c r="E28" t="inlineStr">
        <is>
          <t>LERUM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178-2020</t>
        </is>
      </c>
      <c r="B29" s="1" t="n">
        <v>43833</v>
      </c>
      <c r="C29" s="1" t="n">
        <v>45627</v>
      </c>
      <c r="D29" t="inlineStr">
        <is>
          <t>VÄSTRA GÖTALANDS LÄN</t>
        </is>
      </c>
      <c r="E29" t="inlineStr">
        <is>
          <t>LERUM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188-2020</t>
        </is>
      </c>
      <c r="B30" s="1" t="n">
        <v>43833</v>
      </c>
      <c r="C30" s="1" t="n">
        <v>45627</v>
      </c>
      <c r="D30" t="inlineStr">
        <is>
          <t>VÄSTRA GÖTALANDS LÄN</t>
        </is>
      </c>
      <c r="E30" t="inlineStr">
        <is>
          <t>LERUM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2014-2020</t>
        </is>
      </c>
      <c r="B31" s="1" t="n">
        <v>43845</v>
      </c>
      <c r="C31" s="1" t="n">
        <v>45627</v>
      </c>
      <c r="D31" t="inlineStr">
        <is>
          <t>VÄSTRA GÖTALANDS LÄN</t>
        </is>
      </c>
      <c r="E31" t="inlineStr">
        <is>
          <t>LERUM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1884-2020</t>
        </is>
      </c>
      <c r="B32" s="1" t="n">
        <v>43845</v>
      </c>
      <c r="C32" s="1" t="n">
        <v>45627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2023-2020</t>
        </is>
      </c>
      <c r="B33" s="1" t="n">
        <v>43845</v>
      </c>
      <c r="C33" s="1" t="n">
        <v>45627</v>
      </c>
      <c r="D33" t="inlineStr">
        <is>
          <t>VÄSTRA GÖTALANDS LÄN</t>
        </is>
      </c>
      <c r="E33" t="inlineStr">
        <is>
          <t>LERUM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2034-2020</t>
        </is>
      </c>
      <c r="B34" s="1" t="n">
        <v>43845</v>
      </c>
      <c r="C34" s="1" t="n">
        <v>45627</v>
      </c>
      <c r="D34" t="inlineStr">
        <is>
          <t>VÄSTRA GÖTALANDS LÄN</t>
        </is>
      </c>
      <c r="E34" t="inlineStr">
        <is>
          <t>LERUM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2031-2020</t>
        </is>
      </c>
      <c r="B35" s="1" t="n">
        <v>43845</v>
      </c>
      <c r="C35" s="1" t="n">
        <v>45627</v>
      </c>
      <c r="D35" t="inlineStr">
        <is>
          <t>VÄSTRA GÖTALANDS LÄN</t>
        </is>
      </c>
      <c r="E35" t="inlineStr">
        <is>
          <t>LERUM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4231-2020</t>
        </is>
      </c>
      <c r="B36" s="1" t="n">
        <v>43857</v>
      </c>
      <c r="C36" s="1" t="n">
        <v>45627</v>
      </c>
      <c r="D36" t="inlineStr">
        <is>
          <t>VÄSTRA GÖTALANDS LÄN</t>
        </is>
      </c>
      <c r="E36" t="inlineStr">
        <is>
          <t>LERUM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20698-2020</t>
        </is>
      </c>
      <c r="B37" s="1" t="n">
        <v>43949</v>
      </c>
      <c r="C37" s="1" t="n">
        <v>45627</v>
      </c>
      <c r="D37" t="inlineStr">
        <is>
          <t>VÄSTRA GÖTALANDS LÄN</t>
        </is>
      </c>
      <c r="E37" t="inlineStr">
        <is>
          <t>LERUM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22842-2020</t>
        </is>
      </c>
      <c r="B38" s="1" t="n">
        <v>43964</v>
      </c>
      <c r="C38" s="1" t="n">
        <v>45627</v>
      </c>
      <c r="D38" t="inlineStr">
        <is>
          <t>VÄSTRA GÖTALANDS LÄN</t>
        </is>
      </c>
      <c r="E38" t="inlineStr">
        <is>
          <t>LERUM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29379-2020</t>
        </is>
      </c>
      <c r="B39" s="1" t="n">
        <v>44004</v>
      </c>
      <c r="C39" s="1" t="n">
        <v>45627</v>
      </c>
      <c r="D39" t="inlineStr">
        <is>
          <t>VÄSTRA GÖTALANDS LÄN</t>
        </is>
      </c>
      <c r="E39" t="inlineStr">
        <is>
          <t>LERUM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44301-2020</t>
        </is>
      </c>
      <c r="B40" s="1" t="n">
        <v>44084</v>
      </c>
      <c r="C40" s="1" t="n">
        <v>45627</v>
      </c>
      <c r="D40" t="inlineStr">
        <is>
          <t>VÄSTRA GÖTALANDS LÄN</t>
        </is>
      </c>
      <c r="E40" t="inlineStr">
        <is>
          <t>LERUM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45627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45627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45627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45627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45627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45627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45627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45627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45627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45627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45627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45627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45627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45627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45627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45627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45627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45627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45627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45627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45627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45627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45627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45627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45627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45627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45627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45627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45627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45627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45627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45627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45627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45627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45627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45627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45627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45627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45627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45627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45627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45627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45627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45627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45627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45627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45627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45627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45627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45627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45627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45627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45627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45627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45627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45627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45627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45627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45627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45627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45627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45627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45627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45627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45627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45627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45627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45627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45627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45627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45627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45627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45627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45627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45627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45627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45627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45627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45627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45627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45627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45627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45627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45627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45627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45627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45627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45627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45627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45627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45627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45627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45627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45627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45627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45627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45627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45627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45627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45627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45627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45627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45627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45627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45627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45627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45627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45627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45627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45627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45627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45627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45627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45627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45627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45627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45627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45627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45627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45627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45627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45627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45627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45627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45627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45627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45627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45627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45627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45627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45627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45627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45627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45627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45627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45627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45627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45627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45627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45627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45627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45627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45627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45627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45627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45627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54367-2024</t>
        </is>
      </c>
      <c r="B187" s="1" t="n">
        <v>45617</v>
      </c>
      <c r="C187" s="1" t="n">
        <v>45627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2024-12-01T15:34:40Z</dcterms:created>
  <dcterms:modified xmlns:dcterms="http://purl.org/dc/terms/" xmlns:xsi="http://www.w3.org/2001/XMLSchema-instance" xsi:type="dcterms:W3CDTF">2024-12-01T15:34:40Z</dcterms:modified>
</cp:coreProperties>
</file>