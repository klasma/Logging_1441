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46320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42</v>
      </c>
      <c r="U2" t="n">
        <v>0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46320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46320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46320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46320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3543-2024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45320</v>
      </c>
      <c r="E7" s="1" t="n">
        <v>46320</v>
      </c>
      <c r="F7" t="inlineStr">
        <is>
          <t>VÄSTRA GÖTALANDS LÄN</t>
        </is>
      </c>
      <c r="G7" t="inlineStr">
        <is>
          <t>LERUM</t>
        </is>
      </c>
      <c r="I7" t="n">
        <v>3.9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Grönhjon
Dolkstekelsglasvinge
Spillkråka
Huggorm</t>
        </is>
      </c>
      <c r="W7">
        <f>HYPERLINK("https://klasma.github.io/Logging_1441/artfynd/A 3543-2024 artfynd.xlsx", "A 3543-2024")</f>
        <v/>
      </c>
      <c r="X7">
        <f>HYPERLINK("https://klasma.github.io/Logging_1441/kartor/A 3543-2024 karta.png", "A 3543-2024")</f>
        <v/>
      </c>
      <c r="Y7">
        <f>HYPERLINK("https://klasma.github.io/Logging_1441/kartor_geotiff/A 3543-2024 georefererad karta.tif", "A 3543-2024")</f>
        <v/>
      </c>
      <c r="AA7">
        <f>HYPERLINK("https://klasma.github.io/Logging_1441/klagomål/A 3543-2024 FSC-klagomål.docx", "A 3543-2024")</f>
        <v/>
      </c>
      <c r="AB7">
        <f>HYPERLINK("https://klasma.github.io/Logging_1441/klagomålsmail/A 3543-2024 FSC-klagomål mail.docx", "A 3543-2024")</f>
        <v/>
      </c>
      <c r="AC7">
        <f>HYPERLINK("https://klasma.github.io/Logging_1441/tillsyn/A 3543-2024 tillsynsbegäran.docx", "A 3543-2024")</f>
        <v/>
      </c>
      <c r="AD7">
        <f>HYPERLINK("https://klasma.github.io/Logging_1441/tillsynsmail/A 3543-2024 tillsynsbegäran mail.docx", "A 3543-2024")</f>
        <v/>
      </c>
      <c r="AE7">
        <f>HYPERLINK("https://klasma.github.io/Logging_1441/fåglar/A 3543-2024 prioriterade fågelarter.docx", "A 3543-2024")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46320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46320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46320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46320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46320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46320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46320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46320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46320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64855-2023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45282</v>
      </c>
      <c r="E17" s="1" t="n">
        <v>46320</v>
      </c>
      <c r="F17" t="inlineStr">
        <is>
          <t>VÄSTRA GÖTALANDS LÄN</t>
        </is>
      </c>
      <c r="G17" t="inlineStr">
        <is>
          <t>LERUM</t>
        </is>
      </c>
      <c r="I17" t="n">
        <v>3.7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HYPERLINK("https://klasma.github.io/Logging_1441/artfynd/A 64855-2023 artfynd.xlsx", "A 64855-2023")</f>
        <v/>
      </c>
      <c r="X17">
        <f>HYPERLINK("https://klasma.github.io/Logging_1441/kartor/A 64855-2023 karta.png", "A 64855-2023")</f>
        <v/>
      </c>
      <c r="Y17">
        <f>HYPERLINK("https://klasma.github.io/Logging_1441/kartor_geotiff/A 64855-2023 georefererad karta.tif", "A 64855-2023")</f>
        <v/>
      </c>
      <c r="AA17">
        <f>HYPERLINK("https://klasma.github.io/Logging_1441/klagomål/A 64855-2023 FSC-klagomål.docx", "A 64855-2023")</f>
        <v/>
      </c>
      <c r="AB17">
        <f>HYPERLINK("https://klasma.github.io/Logging_1441/klagomålsmail/A 64855-2023 FSC-klagomål mail.docx", "A 64855-2023")</f>
        <v/>
      </c>
      <c r="AC17">
        <f>HYPERLINK("https://klasma.github.io/Logging_1441/tillsyn/A 64855-2023 tillsynsbegäran.docx", "A 64855-2023")</f>
        <v/>
      </c>
      <c r="AD17">
        <f>HYPERLINK("https://klasma.github.io/Logging_1441/tillsynsmail/A 64855-2023 tillsynsbegäran mail.docx", "A 64855-2023")</f>
        <v/>
      </c>
      <c r="AE17">
        <f>HYPERLINK("https://klasma.github.io/Logging_1441/fåglar/A 64855-2023 prioriterade fågelarter.docx", "A 64855-2023")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46320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46320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46320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46320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46320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46320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46320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46320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46320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46320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46320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46320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46320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46320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46320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45887</v>
      </c>
      <c r="E33" s="1" t="n">
        <v>46320</v>
      </c>
      <c r="F33" t="inlineStr">
        <is>
          <t>VÄSTRA GÖTALANDS LÄN</t>
        </is>
      </c>
      <c r="G33" t="inlineStr">
        <is>
          <t>LERUM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45887</v>
      </c>
      <c r="E34" s="1" t="n">
        <v>46320</v>
      </c>
      <c r="F34" t="inlineStr">
        <is>
          <t>VÄSTRA GÖTALANDS LÄN</t>
        </is>
      </c>
      <c r="G34" t="inlineStr">
        <is>
          <t>LERUM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7989-2024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45350</v>
      </c>
      <c r="E35" s="1" t="n">
        <v>46320</v>
      </c>
      <c r="F35" t="inlineStr">
        <is>
          <t>VÄSTRA GÖTALANDS LÄN</t>
        </is>
      </c>
      <c r="G35" t="inlineStr">
        <is>
          <t>LERUM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17071-2024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45412</v>
      </c>
      <c r="E36" s="1" t="n">
        <v>46320</v>
      </c>
      <c r="F36" t="inlineStr">
        <is>
          <t>VÄSTRA GÖTALANDS LÄN</t>
        </is>
      </c>
      <c r="G36" t="inlineStr">
        <is>
          <t>LERUM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46320</v>
      </c>
      <c r="F37" t="inlineStr">
        <is>
          <t>VÄSTRA GÖTALANDS LÄN</t>
        </is>
      </c>
      <c r="G37" t="inlineStr">
        <is>
          <t>LERUM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20680-2022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44700</v>
      </c>
      <c r="E38" s="1" t="n">
        <v>46320</v>
      </c>
      <c r="F38" t="inlineStr">
        <is>
          <t>VÄSTRA GÖTALANDS LÄN</t>
        </is>
      </c>
      <c r="G38" t="inlineStr">
        <is>
          <t>LERUM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40848-2025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45897</v>
      </c>
      <c r="E39" s="1" t="n">
        <v>46320</v>
      </c>
      <c r="F39" t="inlineStr">
        <is>
          <t>VÄSTRA GÖTALANDS LÄN</t>
        </is>
      </c>
      <c r="G39" t="inlineStr">
        <is>
          <t>LERUM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46320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50622-2023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46320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28157-2022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46320</v>
      </c>
      <c r="F42" t="inlineStr">
        <is>
          <t>VÄSTRA GÖTALANDS LÄN</t>
        </is>
      </c>
      <c r="G42" t="inlineStr">
        <is>
          <t>LERUM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45817</v>
      </c>
      <c r="E43" s="1" t="n">
        <v>46320</v>
      </c>
      <c r="F43" t="inlineStr">
        <is>
          <t>VÄSTRA GÖTALANDS LÄN</t>
        </is>
      </c>
      <c r="G43" t="inlineStr">
        <is>
          <t>LERUM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45396-2025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46320</v>
      </c>
      <c r="F44" t="inlineStr">
        <is>
          <t>VÄSTRA GÖTALANDS LÄN</t>
        </is>
      </c>
      <c r="G44" t="inlineStr">
        <is>
          <t>LERUM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45483-2025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46320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46320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46320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46957-2025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45929</v>
      </c>
      <c r="E48" s="1" t="n">
        <v>46320</v>
      </c>
      <c r="F48" t="inlineStr">
        <is>
          <t>VÄSTRA GÖTALANDS LÄN</t>
        </is>
      </c>
      <c r="G48" t="inlineStr">
        <is>
          <t>LERUM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46320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57178-2022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46320</v>
      </c>
      <c r="F50" t="inlineStr">
        <is>
          <t>VÄSTRA GÖTALANDS LÄN</t>
        </is>
      </c>
      <c r="G50" t="inlineStr">
        <is>
          <t>LERUM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66008-2021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46320</v>
      </c>
      <c r="F51" t="inlineStr">
        <is>
          <t>VÄSTRA GÖTALANDS LÄN</t>
        </is>
      </c>
      <c r="G51" t="inlineStr">
        <is>
          <t>LERUM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66104-2021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46320</v>
      </c>
      <c r="F52" t="inlineStr">
        <is>
          <t>VÄSTRA GÖTALANDS LÄN</t>
        </is>
      </c>
      <c r="G52" t="inlineStr">
        <is>
          <t>LERUM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66107-2021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46320</v>
      </c>
      <c r="F53" t="inlineStr">
        <is>
          <t>VÄSTRA GÖTALANDS LÄN</t>
        </is>
      </c>
      <c r="G53" t="inlineStr">
        <is>
          <t>LERUM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46320</v>
      </c>
      <c r="F54" t="inlineStr">
        <is>
          <t>VÄSTRA GÖTALANDS LÄN</t>
        </is>
      </c>
      <c r="G54" t="inlineStr">
        <is>
          <t>LERUM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46320</v>
      </c>
      <c r="F55" t="inlineStr">
        <is>
          <t>VÄSTRA GÖTALANDS LÄN</t>
        </is>
      </c>
      <c r="G55" t="inlineStr">
        <is>
          <t>LERUM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44970</v>
      </c>
      <c r="E56" s="1" t="n">
        <v>46320</v>
      </c>
      <c r="F56" t="inlineStr">
        <is>
          <t>VÄSTRA GÖTALANDS LÄN</t>
        </is>
      </c>
      <c r="G56" t="inlineStr">
        <is>
          <t>LERUM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44943</v>
      </c>
      <c r="E57" s="1" t="n">
        <v>46320</v>
      </c>
      <c r="F57" t="inlineStr">
        <is>
          <t>VÄSTRA GÖTALANDS LÄN</t>
        </is>
      </c>
      <c r="G57" t="inlineStr">
        <is>
          <t>LERUM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46320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46320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46320</v>
      </c>
      <c r="F60" t="inlineStr">
        <is>
          <t>VÄSTRA GÖTALANDS LÄN</t>
        </is>
      </c>
      <c r="G60" t="inlineStr">
        <is>
          <t>LERUM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44959</v>
      </c>
      <c r="E61" s="1" t="n">
        <v>46320</v>
      </c>
      <c r="F61" t="inlineStr">
        <is>
          <t>VÄSTRA GÖTALANDS LÄN</t>
        </is>
      </c>
      <c r="G61" t="inlineStr">
        <is>
          <t>LERUM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50405-2023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46320</v>
      </c>
      <c r="F62" t="inlineStr">
        <is>
          <t>VÄSTRA GÖTALANDS LÄN</t>
        </is>
      </c>
      <c r="G62" t="inlineStr">
        <is>
          <t>LERUM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50410-2023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45216</v>
      </c>
      <c r="E63" s="1" t="n">
        <v>46320</v>
      </c>
      <c r="F63" t="inlineStr">
        <is>
          <t>VÄSTRA GÖTALANDS LÄN</t>
        </is>
      </c>
      <c r="G63" t="inlineStr">
        <is>
          <t>LERUM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44828</v>
      </c>
      <c r="E64" s="1" t="n">
        <v>46320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45170</v>
      </c>
      <c r="E65" s="1" t="n">
        <v>46320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45300</v>
      </c>
      <c r="E66" s="1" t="n">
        <v>46320</v>
      </c>
      <c r="F66" t="inlineStr">
        <is>
          <t>VÄSTRA GÖTALANDS LÄN</t>
        </is>
      </c>
      <c r="G66" t="inlineStr">
        <is>
          <t>LERUM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45971</v>
      </c>
      <c r="E67" s="1" t="n">
        <v>46320</v>
      </c>
      <c r="F67" t="inlineStr">
        <is>
          <t>VÄSTRA GÖTALANDS LÄN</t>
        </is>
      </c>
      <c r="G67" t="inlineStr">
        <is>
          <t>LERUM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46320</v>
      </c>
      <c r="F68" t="inlineStr">
        <is>
          <t>VÄSTRA GÖTALANDS LÄN</t>
        </is>
      </c>
      <c r="G68" t="inlineStr">
        <is>
          <t>LERUM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46206</v>
      </c>
      <c r="E69" s="1" t="n">
        <v>46320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46002</v>
      </c>
      <c r="E70" s="1" t="n">
        <v>46320</v>
      </c>
      <c r="F70" t="inlineStr">
        <is>
          <t>VÄSTRA GÖTALANDS LÄN</t>
        </is>
      </c>
      <c r="G70" t="inlineStr">
        <is>
          <t>LERUM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46320</v>
      </c>
      <c r="F71" t="inlineStr">
        <is>
          <t>VÄSTRA GÖTALANDS LÄN</t>
        </is>
      </c>
      <c r="G71" t="inlineStr">
        <is>
          <t>LERUM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46008</v>
      </c>
      <c r="E72" s="1" t="n">
        <v>46320</v>
      </c>
      <c r="F72" t="inlineStr">
        <is>
          <t>VÄSTRA GÖTALANDS LÄN</t>
        </is>
      </c>
      <c r="G72" t="inlineStr">
        <is>
          <t>LERUM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46320</v>
      </c>
      <c r="F73" t="inlineStr">
        <is>
          <t>VÄSTRA GÖTALANDS LÄN</t>
        </is>
      </c>
      <c r="G73" t="inlineStr">
        <is>
          <t>LERUM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46320</v>
      </c>
      <c r="F74" t="inlineStr">
        <is>
          <t>VÄSTRA GÖTALANDS LÄN</t>
        </is>
      </c>
      <c r="G74" t="inlineStr">
        <is>
          <t>LERUM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46034</v>
      </c>
      <c r="E75" s="1" t="n">
        <v>46320</v>
      </c>
      <c r="F75" t="inlineStr">
        <is>
          <t>VÄSTRA GÖTALANDS LÄN</t>
        </is>
      </c>
      <c r="G75" t="inlineStr">
        <is>
          <t>LERUM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46036</v>
      </c>
      <c r="E76" s="1" t="n">
        <v>46320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33070-2026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46245</v>
      </c>
      <c r="E77" s="1" t="n">
        <v>46320</v>
      </c>
      <c r="F77" t="inlineStr">
        <is>
          <t>VÄSTRA GÖTALANDS LÄN</t>
        </is>
      </c>
      <c r="G77" t="inlineStr">
        <is>
          <t>LERUM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46320</v>
      </c>
      <c r="F78" t="inlineStr">
        <is>
          <t>VÄSTRA GÖTALANDS LÄN</t>
        </is>
      </c>
      <c r="G78" t="inlineStr">
        <is>
          <t>LERUM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39853-2026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46290</v>
      </c>
      <c r="E79" s="1" t="n">
        <v>46320</v>
      </c>
      <c r="F79" t="inlineStr">
        <is>
          <t>VÄSTRA GÖTALANDS LÄN</t>
        </is>
      </c>
      <c r="G79" t="inlineStr">
        <is>
          <t>LERUM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11232-2025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45726</v>
      </c>
      <c r="E80" s="1" t="n">
        <v>46320</v>
      </c>
      <c r="F80" t="inlineStr">
        <is>
          <t>VÄSTRA GÖTALANDS LÄN</t>
        </is>
      </c>
      <c r="G80" t="inlineStr">
        <is>
          <t>LERUM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27367-2025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45812</v>
      </c>
      <c r="E81" s="1" t="n">
        <v>46320</v>
      </c>
      <c r="F81" t="inlineStr">
        <is>
          <t>VÄSTRA GÖTALANDS LÄN</t>
        </is>
      </c>
      <c r="G81" t="inlineStr">
        <is>
          <t>LERUM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45835</v>
      </c>
      <c r="E82" s="1" t="n">
        <v>46320</v>
      </c>
      <c r="F82" t="inlineStr">
        <is>
          <t>VÄSTRA GÖTALANDS LÄN</t>
        </is>
      </c>
      <c r="G82" t="inlineStr">
        <is>
          <t>LERUM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32093-2025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45835</v>
      </c>
      <c r="E83" s="1" t="n">
        <v>46320</v>
      </c>
      <c r="F83" t="inlineStr">
        <is>
          <t>VÄSTRA GÖTALANDS LÄN</t>
        </is>
      </c>
      <c r="G83" t="inlineStr">
        <is>
          <t>LERUM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21133-2022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44704</v>
      </c>
      <c r="E84" s="1" t="n">
        <v>46320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46132</v>
      </c>
      <c r="E85" s="1" t="n">
        <v>46320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46320</v>
      </c>
      <c r="F86" t="inlineStr">
        <is>
          <t>VÄSTRA GÖTALANDS LÄN</t>
        </is>
      </c>
      <c r="G86" t="inlineStr">
        <is>
          <t>LERUM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45476</v>
      </c>
      <c r="E87" s="1" t="n">
        <v>46320</v>
      </c>
      <c r="F87" t="inlineStr">
        <is>
          <t>VÄSTRA GÖTALANDS LÄN</t>
        </is>
      </c>
      <c r="G87" t="inlineStr">
        <is>
          <t>LERUM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45476</v>
      </c>
      <c r="E88" s="1" t="n">
        <v>46320</v>
      </c>
      <c r="F88" t="inlineStr">
        <is>
          <t>VÄSTRA GÖTALANDS LÄN</t>
        </is>
      </c>
      <c r="G88" t="inlineStr">
        <is>
          <t>LERUM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45723</v>
      </c>
      <c r="E89" s="1" t="n">
        <v>46320</v>
      </c>
      <c r="F89" t="inlineStr">
        <is>
          <t>VÄSTRA GÖTALANDS LÄN</t>
        </is>
      </c>
      <c r="G89" t="inlineStr">
        <is>
          <t>LERUM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46320</v>
      </c>
      <c r="F90" t="inlineStr">
        <is>
          <t>VÄSTRA GÖTALANDS LÄN</t>
        </is>
      </c>
      <c r="G90" t="inlineStr">
        <is>
          <t>LERUM</t>
        </is>
      </c>
      <c r="I90" t="n">
        <v>23.3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46320</v>
      </c>
      <c r="F91" t="inlineStr">
        <is>
          <t>VÄSTRA GÖTALANDS LÄN</t>
        </is>
      </c>
      <c r="G91" t="inlineStr">
        <is>
          <t>LERUM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46320</v>
      </c>
      <c r="F92" t="inlineStr">
        <is>
          <t>VÄSTRA GÖTALANDS LÄN</t>
        </is>
      </c>
      <c r="G92" t="inlineStr">
        <is>
          <t>LERUM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46320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35199-2023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45145</v>
      </c>
      <c r="E94" s="1" t="n">
        <v>46320</v>
      </c>
      <c r="F94" t="inlineStr">
        <is>
          <t>VÄSTRA GÖTALANDS LÄN</t>
        </is>
      </c>
      <c r="G94" t="inlineStr">
        <is>
          <t>LERUM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46320</v>
      </c>
      <c r="F95" t="inlineStr">
        <is>
          <t>VÄSTRA GÖTALANDS LÄN</t>
        </is>
      </c>
      <c r="G95" t="inlineStr">
        <is>
          <t>LERUM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46316</v>
      </c>
      <c r="E96" s="1" t="n">
        <v>46320</v>
      </c>
      <c r="F96" t="inlineStr">
        <is>
          <t>VÄSTRA GÖTALANDS LÄN</t>
        </is>
      </c>
      <c r="G96" t="inlineStr">
        <is>
          <t>LERUM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46320</v>
      </c>
      <c r="F97" t="inlineStr">
        <is>
          <t>VÄSTRA GÖTALANDS LÄN</t>
        </is>
      </c>
      <c r="G97" t="inlineStr">
        <is>
          <t>LERUM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46276</v>
      </c>
      <c r="E98" s="1" t="n">
        <v>46320</v>
      </c>
      <c r="F98" t="inlineStr">
        <is>
          <t>VÄSTRA GÖTALANDS LÄN</t>
        </is>
      </c>
      <c r="G98" t="inlineStr">
        <is>
          <t>LERUM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46320</v>
      </c>
      <c r="F99" t="inlineStr">
        <is>
          <t>VÄSTRA GÖTALANDS LÄN</t>
        </is>
      </c>
      <c r="G99" t="inlineStr">
        <is>
          <t>LERUM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46320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16648-2023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46320</v>
      </c>
      <c r="F101" t="inlineStr">
        <is>
          <t>VÄSTRA GÖTALANDS LÄN</t>
        </is>
      </c>
      <c r="G101" t="inlineStr">
        <is>
          <t>LERUM</t>
        </is>
      </c>
      <c r="H101" t="inlineStr">
        <is>
          <t>Kyrkan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13156-2024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45386</v>
      </c>
      <c r="E102" s="1" t="n">
        <v>46320</v>
      </c>
      <c r="F102" t="inlineStr">
        <is>
          <t>VÄSTRA GÖTALANDS LÄN</t>
        </is>
      </c>
      <c r="G102" t="inlineStr">
        <is>
          <t>LERUM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46320</v>
      </c>
      <c r="F103" t="inlineStr">
        <is>
          <t>VÄSTRA GÖTALANDS LÄN</t>
        </is>
      </c>
      <c r="G103" t="inlineStr">
        <is>
          <t>LERUM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45392</v>
      </c>
      <c r="E104" s="1" t="n">
        <v>46320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46320</v>
      </c>
      <c r="F105" t="inlineStr">
        <is>
          <t>VÄSTRA GÖTALANDS LÄN</t>
        </is>
      </c>
      <c r="G105" t="inlineStr">
        <is>
          <t>LERUM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46320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45055</v>
      </c>
      <c r="E107" s="1" t="n">
        <v>46320</v>
      </c>
      <c r="F107" t="inlineStr">
        <is>
          <t>VÄSTRA GÖTALANDS LÄN</t>
        </is>
      </c>
      <c r="G107" t="inlineStr">
        <is>
          <t>LERUM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50397-2023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46320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46320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44746</v>
      </c>
      <c r="E110" s="1" t="n">
        <v>46320</v>
      </c>
      <c r="F110" t="inlineStr">
        <is>
          <t>VÄSTRA GÖTALANDS LÄN</t>
        </is>
      </c>
      <c r="G110" t="inlineStr">
        <is>
          <t>LERUM</t>
        </is>
      </c>
      <c r="I110" t="n">
        <v>7.4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24163-2024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45441</v>
      </c>
      <c r="E111" s="1" t="n">
        <v>46320</v>
      </c>
      <c r="F111" t="inlineStr">
        <is>
          <t>VÄSTRA GÖTALANDS LÄN</t>
        </is>
      </c>
      <c r="G111" t="inlineStr">
        <is>
          <t>LERUM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46320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46320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2026-10-25T02:04:55Z</dcterms:created>
  <dcterms:modified xmlns:dcterms="http://purl.org/dc/terms/" xmlns:xsi="http://www.w3.org/2001/XMLSchema-instance" xsi:type="dcterms:W3CDTF">2026-10-25T02:04:55Z</dcterms:modified>
</cp:coreProperties>
</file>