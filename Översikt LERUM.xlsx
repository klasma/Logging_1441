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46253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46253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46253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46253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46253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46253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46253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46253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46253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46253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46253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46253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46253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26568-2023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45092</v>
      </c>
      <c r="E15" s="1" t="n">
        <v>46253</v>
      </c>
      <c r="F15" t="inlineStr">
        <is>
          <t>VÄSTRA GÖTALANDS LÄN</t>
        </is>
      </c>
      <c r="G15" t="inlineStr">
        <is>
          <t>LERUM</t>
        </is>
      </c>
      <c r="I15" t="n">
        <v>2.7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Svart jordtunga</t>
        </is>
      </c>
      <c r="W15">
        <f>HYPERLINK("https://klasma.github.io/Logging_1441/artfynd/A 26568-2023 artfynd.xlsx", "A 26568-2023")</f>
        <v/>
      </c>
      <c r="X15">
        <f>HYPERLINK("https://klasma.github.io/Logging_1441/kartor/A 26568-2023 karta.png", "A 26568-2023")</f>
        <v/>
      </c>
      <c r="Y15">
        <f>HYPERLINK("https://klasma.github.io/Logging_1441/kartor_geotiff/A 26568-2023 georefererad karta.tif", "A 26568-2023")</f>
        <v/>
      </c>
      <c r="AA15">
        <f>HYPERLINK("https://klasma.github.io/Logging_1441/klagomål/A 26568-2023 FSC-klagomål.docx", "A 26568-2023")</f>
        <v/>
      </c>
      <c r="AB15">
        <f>HYPERLINK("https://klasma.github.io/Logging_1441/klagomålsmail/A 26568-2023 FSC-klagomål mail.docx", "A 26568-2023")</f>
        <v/>
      </c>
      <c r="AC15">
        <f>HYPERLINK("https://klasma.github.io/Logging_1441/tillsyn/A 26568-2023 tillsynsbegäran.docx", "A 26568-2023")</f>
        <v/>
      </c>
      <c r="AD15">
        <f>HYPERLINK("https://klasma.github.io/Logging_1441/tillsynsmail/A 26568-2023 tillsynsbegäran mail.docx", "A 26568-2023")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46253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46253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46253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46253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46253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46253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46253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46253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46253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46253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46253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46253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46253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46253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46253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46253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46253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46253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46253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46253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46253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46253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46253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46253</v>
      </c>
      <c r="F40" t="inlineStr">
        <is>
          <t>VÄSTRA GÖTALANDS LÄN</t>
        </is>
      </c>
      <c r="G40" t="inlineStr">
        <is>
          <t>LERUM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46253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45345</v>
      </c>
      <c r="E42" s="1" t="n">
        <v>46253</v>
      </c>
      <c r="F42" t="inlineStr">
        <is>
          <t>VÄSTRA GÖTALANDS LÄN</t>
        </is>
      </c>
      <c r="G42" t="inlineStr">
        <is>
          <t>LERUM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46253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46253</v>
      </c>
      <c r="F44" t="inlineStr">
        <is>
          <t>VÄSTRA GÖTALANDS LÄN</t>
        </is>
      </c>
      <c r="G44" t="inlineStr">
        <is>
          <t>LERUM</t>
        </is>
      </c>
      <c r="I44" t="n">
        <v>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46253</v>
      </c>
      <c r="F45" t="inlineStr">
        <is>
          <t>VÄSTRA GÖTALANDS LÄN</t>
        </is>
      </c>
      <c r="G45" t="inlineStr">
        <is>
          <t>LERUM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45805</v>
      </c>
      <c r="E46" s="1" t="n">
        <v>46253</v>
      </c>
      <c r="F46" t="inlineStr">
        <is>
          <t>VÄSTRA GÖTALANDS LÄN</t>
        </is>
      </c>
      <c r="G46" t="inlineStr">
        <is>
          <t>LERUM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27367-2025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46253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39113-2024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46253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35199-2023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45145</v>
      </c>
      <c r="E49" s="1" t="n">
        <v>46253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46253</v>
      </c>
      <c r="F50" t="inlineStr">
        <is>
          <t>VÄSTRA GÖTALANDS LÄN</t>
        </is>
      </c>
      <c r="G50" t="inlineStr">
        <is>
          <t>LERUM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46253</v>
      </c>
      <c r="F51" t="inlineStr">
        <is>
          <t>VÄSTRA GÖTALANDS LÄN</t>
        </is>
      </c>
      <c r="G51" t="inlineStr">
        <is>
          <t>LERUM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23592-2022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46253</v>
      </c>
      <c r="F52" t="inlineStr">
        <is>
          <t>VÄSTRA GÖTALANDS LÄN</t>
        </is>
      </c>
      <c r="G52" t="inlineStr">
        <is>
          <t>LERUM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11232-2025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45726</v>
      </c>
      <c r="E53" s="1" t="n">
        <v>46253</v>
      </c>
      <c r="F53" t="inlineStr">
        <is>
          <t>VÄSTRA GÖTALANDS LÄN</t>
        </is>
      </c>
      <c r="G53" t="inlineStr">
        <is>
          <t>LERUM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40848-2025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45897</v>
      </c>
      <c r="E54" s="1" t="n">
        <v>46253</v>
      </c>
      <c r="F54" t="inlineStr">
        <is>
          <t>VÄSTRA GÖTALANDS LÄN</t>
        </is>
      </c>
      <c r="G54" t="inlineStr">
        <is>
          <t>LERUM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32095-2025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45835</v>
      </c>
      <c r="E55" s="1" t="n">
        <v>46253</v>
      </c>
      <c r="F55" t="inlineStr">
        <is>
          <t>VÄSTRA GÖTALANDS LÄN</t>
        </is>
      </c>
      <c r="G55" t="inlineStr">
        <is>
          <t>LERUM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32093-2025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46253</v>
      </c>
      <c r="F56" t="inlineStr">
        <is>
          <t>VÄSTRA GÖTALANDS LÄN</t>
        </is>
      </c>
      <c r="G56" t="inlineStr">
        <is>
          <t>LERUM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45565</v>
      </c>
      <c r="E57" s="1" t="n">
        <v>46253</v>
      </c>
      <c r="F57" t="inlineStr">
        <is>
          <t>VÄSTRA GÖTALANDS LÄN</t>
        </is>
      </c>
      <c r="G57" t="inlineStr">
        <is>
          <t>LERUM</t>
        </is>
      </c>
      <c r="H57" t="inlineStr">
        <is>
          <t>Kyrkan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45396-2025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46253</v>
      </c>
      <c r="F58" t="inlineStr">
        <is>
          <t>VÄSTRA GÖTALANDS LÄN</t>
        </is>
      </c>
      <c r="G58" t="inlineStr">
        <is>
          <t>LERUM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45483-2025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46253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45132-2025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45919</v>
      </c>
      <c r="E60" s="1" t="n">
        <v>46253</v>
      </c>
      <c r="F60" t="inlineStr">
        <is>
          <t>VÄSTRA GÖTALANDS LÄN</t>
        </is>
      </c>
      <c r="G60" t="inlineStr">
        <is>
          <t>LERUM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46253</v>
      </c>
      <c r="F61" t="inlineStr">
        <is>
          <t>VÄSTRA GÖTALANDS LÄN</t>
        </is>
      </c>
      <c r="G61" t="inlineStr">
        <is>
          <t>LERUM</t>
        </is>
      </c>
      <c r="H61" t="inlineStr">
        <is>
          <t>Kyrkan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46253</v>
      </c>
      <c r="F62" t="inlineStr">
        <is>
          <t>VÄSTRA GÖTALANDS LÄN</t>
        </is>
      </c>
      <c r="G62" t="inlineStr">
        <is>
          <t>LERUM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13156-2024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45386</v>
      </c>
      <c r="E63" s="1" t="n">
        <v>46253</v>
      </c>
      <c r="F63" t="inlineStr">
        <is>
          <t>VÄSTRA GÖTALANDS LÄN</t>
        </is>
      </c>
      <c r="G63" t="inlineStr">
        <is>
          <t>LERUM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46957-2025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45929</v>
      </c>
      <c r="E64" s="1" t="n">
        <v>46253</v>
      </c>
      <c r="F64" t="inlineStr">
        <is>
          <t>VÄSTRA GÖTALANDS LÄN</t>
        </is>
      </c>
      <c r="G64" t="inlineStr">
        <is>
          <t>LERUM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47599-2025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45931</v>
      </c>
      <c r="E65" s="1" t="n">
        <v>46253</v>
      </c>
      <c r="F65" t="inlineStr">
        <is>
          <t>VÄSTRA GÖTALANDS LÄN</t>
        </is>
      </c>
      <c r="G65" t="inlineStr">
        <is>
          <t>LERUM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46253</v>
      </c>
      <c r="F66" t="inlineStr">
        <is>
          <t>VÄSTRA GÖTALANDS LÄN</t>
        </is>
      </c>
      <c r="G66" t="inlineStr">
        <is>
          <t>LERUM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66008-2021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46253</v>
      </c>
      <c r="F67" t="inlineStr">
        <is>
          <t>VÄSTRA GÖTALANDS LÄN</t>
        </is>
      </c>
      <c r="G67" t="inlineStr">
        <is>
          <t>LERUM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46253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46253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44805</v>
      </c>
      <c r="E70" s="1" t="n">
        <v>46253</v>
      </c>
      <c r="F70" t="inlineStr">
        <is>
          <t>VÄSTRA GÖTALANDS LÄN</t>
        </is>
      </c>
      <c r="G70" t="inlineStr">
        <is>
          <t>LERUM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46253</v>
      </c>
      <c r="F71" t="inlineStr">
        <is>
          <t>VÄSTRA GÖTALANDS LÄN</t>
        </is>
      </c>
      <c r="G71" t="inlineStr">
        <is>
          <t>LERUM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46253</v>
      </c>
      <c r="F72" t="inlineStr">
        <is>
          <t>VÄSTRA GÖTALANDS LÄN</t>
        </is>
      </c>
      <c r="G72" t="inlineStr">
        <is>
          <t>LERUM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44943</v>
      </c>
      <c r="E73" s="1" t="n">
        <v>46253</v>
      </c>
      <c r="F73" t="inlineStr">
        <is>
          <t>VÄSTRA GÖTALANDS LÄN</t>
        </is>
      </c>
      <c r="G73" t="inlineStr">
        <is>
          <t>LERUM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46253</v>
      </c>
      <c r="F74" t="inlineStr">
        <is>
          <t>VÄSTRA GÖTALANDS LÄN</t>
        </is>
      </c>
      <c r="G74" t="inlineStr">
        <is>
          <t>LERUM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57120-2022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46253</v>
      </c>
      <c r="F75" t="inlineStr">
        <is>
          <t>VÄSTRA GÖTALANDS LÄN</t>
        </is>
      </c>
      <c r="G75" t="inlineStr">
        <is>
          <t>LERUM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46253</v>
      </c>
      <c r="F76" t="inlineStr">
        <is>
          <t>VÄSTRA GÖTALANDS LÄN</t>
        </is>
      </c>
      <c r="G76" t="inlineStr">
        <is>
          <t>LERUM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21133-2022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44704</v>
      </c>
      <c r="E77" s="1" t="n">
        <v>46253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46253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46253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55429-2025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46253</v>
      </c>
      <c r="F80" t="inlineStr">
        <is>
          <t>VÄSTRA GÖTALANDS LÄN</t>
        </is>
      </c>
      <c r="G80" t="inlineStr">
        <is>
          <t>LERUM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45975</v>
      </c>
      <c r="E81" s="1" t="n">
        <v>46253</v>
      </c>
      <c r="F81" t="inlineStr">
        <is>
          <t>VÄSTRA GÖTALANDS LÄN</t>
        </is>
      </c>
      <c r="G81" t="inlineStr">
        <is>
          <t>LERUM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46253</v>
      </c>
      <c r="F82" t="inlineStr">
        <is>
          <t>VÄSTRA GÖTALANDS LÄN</t>
        </is>
      </c>
      <c r="G82" t="inlineStr">
        <is>
          <t>LERUM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22300-2022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44712</v>
      </c>
      <c r="E83" s="1" t="n">
        <v>46253</v>
      </c>
      <c r="F83" t="inlineStr">
        <is>
          <t>VÄSTRA GÖTALANDS LÄN</t>
        </is>
      </c>
      <c r="G83" t="inlineStr">
        <is>
          <t>LERUM</t>
        </is>
      </c>
      <c r="I83" t="n">
        <v>23.3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46253</v>
      </c>
      <c r="F84" t="inlineStr">
        <is>
          <t>VÄSTRA GÖTALANDS LÄN</t>
        </is>
      </c>
      <c r="G84" t="inlineStr">
        <is>
          <t>LERUM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45982</v>
      </c>
      <c r="E85" s="1" t="n">
        <v>46253</v>
      </c>
      <c r="F85" t="inlineStr">
        <is>
          <t>VÄSTRA GÖTALANDS LÄN</t>
        </is>
      </c>
      <c r="G85" t="inlineStr">
        <is>
          <t>LERUM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46253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14067-2024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45392</v>
      </c>
      <c r="E87" s="1" t="n">
        <v>46253</v>
      </c>
      <c r="F87" t="inlineStr">
        <is>
          <t>VÄSTRA GÖTALANDS LÄN</t>
        </is>
      </c>
      <c r="G87" t="inlineStr">
        <is>
          <t>LERUM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46253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47866-2024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45588</v>
      </c>
      <c r="E89" s="1" t="n">
        <v>46253</v>
      </c>
      <c r="F89" t="inlineStr">
        <is>
          <t>VÄSTRA GÖTALANDS LÄN</t>
        </is>
      </c>
      <c r="G89" t="inlineStr">
        <is>
          <t>LERUM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46253</v>
      </c>
      <c r="F90" t="inlineStr">
        <is>
          <t>VÄSTRA GÖTALANDS LÄN</t>
        </is>
      </c>
      <c r="G90" t="inlineStr">
        <is>
          <t>LERUM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47944-2024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46253</v>
      </c>
      <c r="F91" t="inlineStr">
        <is>
          <t>VÄSTRA GÖTALANDS LÄN</t>
        </is>
      </c>
      <c r="G91" t="inlineStr">
        <is>
          <t>LERUM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46253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46253</v>
      </c>
      <c r="F93" t="inlineStr">
        <is>
          <t>VÄSTRA GÖTALANDS LÄN</t>
        </is>
      </c>
      <c r="G93" t="inlineStr">
        <is>
          <t>LERUM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46253</v>
      </c>
      <c r="F94" t="inlineStr">
        <is>
          <t>VÄSTRA GÖTALANDS LÄN</t>
        </is>
      </c>
      <c r="G94" t="inlineStr">
        <is>
          <t>LERUM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46253</v>
      </c>
      <c r="F95" t="inlineStr">
        <is>
          <t>VÄSTRA GÖTALANDS LÄN</t>
        </is>
      </c>
      <c r="G95" t="inlineStr">
        <is>
          <t>LERUM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46253</v>
      </c>
      <c r="F96" t="inlineStr">
        <is>
          <t>VÄSTRA GÖTALANDS LÄN</t>
        </is>
      </c>
      <c r="G96" t="inlineStr">
        <is>
          <t>LERUM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46253</v>
      </c>
      <c r="F97" t="inlineStr">
        <is>
          <t>VÄSTRA GÖTALANDS LÄN</t>
        </is>
      </c>
      <c r="G97" t="inlineStr">
        <is>
          <t>LERUM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45329</v>
      </c>
      <c r="E98" s="1" t="n">
        <v>46253</v>
      </c>
      <c r="F98" t="inlineStr">
        <is>
          <t>VÄSTRA GÖTALANDS LÄN</t>
        </is>
      </c>
      <c r="G98" t="inlineStr">
        <is>
          <t>LERUM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46253</v>
      </c>
      <c r="F99" t="inlineStr">
        <is>
          <t>VÄSTRA GÖTALANDS LÄN</t>
        </is>
      </c>
      <c r="G99" t="inlineStr">
        <is>
          <t>LERUM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46034</v>
      </c>
      <c r="E100" s="1" t="n">
        <v>46253</v>
      </c>
      <c r="F100" t="inlineStr">
        <is>
          <t>VÄSTRA GÖTALANDS LÄN</t>
        </is>
      </c>
      <c r="G100" t="inlineStr">
        <is>
          <t>LERUM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46253</v>
      </c>
      <c r="F101" t="inlineStr">
        <is>
          <t>VÄSTRA GÖTALANDS LÄN</t>
        </is>
      </c>
      <c r="G101" t="inlineStr">
        <is>
          <t>LERUM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46253</v>
      </c>
      <c r="F102" t="inlineStr">
        <is>
          <t>VÄSTRA GÖTALANDS LÄN</t>
        </is>
      </c>
      <c r="G102" t="inlineStr">
        <is>
          <t>LERUM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45055</v>
      </c>
      <c r="E103" s="1" t="n">
        <v>46253</v>
      </c>
      <c r="F103" t="inlineStr">
        <is>
          <t>VÄSTRA GÖTALANDS LÄN</t>
        </is>
      </c>
      <c r="G103" t="inlineStr">
        <is>
          <t>LERUM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46253</v>
      </c>
      <c r="F104" t="inlineStr">
        <is>
          <t>VÄSTRA GÖTALANDS LÄN</t>
        </is>
      </c>
      <c r="G104" t="inlineStr">
        <is>
          <t>LERUM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44710</v>
      </c>
      <c r="E105" s="1" t="n">
        <v>46253</v>
      </c>
      <c r="F105" t="inlineStr">
        <is>
          <t>VÄSTRA GÖTALANDS LÄN</t>
        </is>
      </c>
      <c r="G105" t="inlineStr">
        <is>
          <t>LERUM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46253</v>
      </c>
      <c r="F106" t="inlineStr">
        <is>
          <t>VÄSTRA GÖTALANDS LÄN</t>
        </is>
      </c>
      <c r="G106" t="inlineStr">
        <is>
          <t>LERUM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33070-2026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46253</v>
      </c>
      <c r="F107" t="inlineStr">
        <is>
          <t>VÄSTRA GÖTALANDS LÄN</t>
        </is>
      </c>
      <c r="G107" t="inlineStr">
        <is>
          <t>LERUM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46206</v>
      </c>
      <c r="E108" s="1" t="n">
        <v>46253</v>
      </c>
      <c r="F108" t="inlineStr">
        <is>
          <t>VÄSTRA GÖTALANDS LÄN</t>
        </is>
      </c>
      <c r="G108" t="inlineStr">
        <is>
          <t>LERUM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24163-2024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45441</v>
      </c>
      <c r="E109" s="1" t="n">
        <v>46253</v>
      </c>
      <c r="F109" t="inlineStr">
        <is>
          <t>VÄSTRA GÖTALANDS LÄN</t>
        </is>
      </c>
      <c r="G109" t="inlineStr">
        <is>
          <t>LERUM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46253</v>
      </c>
      <c r="F110" t="inlineStr">
        <is>
          <t>VÄSTRA GÖTALANDS LÄN</t>
        </is>
      </c>
      <c r="G110" t="inlineStr">
        <is>
          <t>LERUM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46253</v>
      </c>
      <c r="F111" t="inlineStr">
        <is>
          <t>VÄSTRA GÖTALANDS LÄN</t>
        </is>
      </c>
      <c r="G111" t="inlineStr">
        <is>
          <t>LERUM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5359-2023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44959</v>
      </c>
      <c r="E112" s="1" t="n">
        <v>46253</v>
      </c>
      <c r="F112" t="inlineStr">
        <is>
          <t>VÄSTRA GÖTALANDS LÄN</t>
        </is>
      </c>
      <c r="G112" t="inlineStr">
        <is>
          <t>LERUM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45170</v>
      </c>
      <c r="E113" s="1" t="n">
        <v>46253</v>
      </c>
      <c r="F113" t="inlineStr">
        <is>
          <t>VÄSTRA GÖTALANDS LÄN</t>
        </is>
      </c>
      <c r="G113" t="inlineStr">
        <is>
          <t>LERUM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45300</v>
      </c>
      <c r="E114" s="1" t="n">
        <v>46253</v>
      </c>
      <c r="F114" t="inlineStr">
        <is>
          <t>VÄSTRA GÖTALANDS LÄN</t>
        </is>
      </c>
      <c r="G114" t="inlineStr">
        <is>
          <t>LERUM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46253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46253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2026-08-19T01:48:39Z</dcterms:created>
  <dcterms:modified xmlns:dcterms="http://purl.org/dc/terms/" xmlns:xsi="http://www.w3.org/2001/XMLSchema-instance" xsi:type="dcterms:W3CDTF">2026-08-19T01:48:39Z</dcterms:modified>
</cp:coreProperties>
</file>