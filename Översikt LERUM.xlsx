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46249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46249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46249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46249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46249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46249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46249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46249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46249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46249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46249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46249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46249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51900-2021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46249</v>
      </c>
      <c r="F15" t="inlineStr">
        <is>
          <t>VÄSTRA GÖTALANDS LÄN</t>
        </is>
      </c>
      <c r="G15" t="inlineStr">
        <is>
          <t>LERUM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HYPERLINK("https://klasma.github.io/Logging_1441/artfynd/A 51900-2021 artfynd.xlsx", "A 51900-2021")</f>
        <v/>
      </c>
      <c r="X15">
        <f>HYPERLINK("https://klasma.github.io/Logging_1441/kartor/A 51900-2021 karta.png", "A 51900-2021")</f>
        <v/>
      </c>
      <c r="Y15">
        <f>HYPERLINK("https://klasma.github.io/Logging_1441/kartor_geotiff/A 51900-2021 georefererad karta.tif", "A 51900-2021")</f>
        <v/>
      </c>
      <c r="AA15">
        <f>HYPERLINK("https://klasma.github.io/Logging_1441/klagomål/A 51900-2021 FSC-klagomål.docx", "A 51900-2021")</f>
        <v/>
      </c>
      <c r="AB15">
        <f>HYPERLINK("https://klasma.github.io/Logging_1441/klagomålsmail/A 51900-2021 FSC-klagomål mail.docx", "A 51900-2021")</f>
        <v/>
      </c>
      <c r="AC15">
        <f>HYPERLINK("https://klasma.github.io/Logging_1441/tillsyn/A 51900-2021 tillsynsbegäran.docx", "A 51900-2021")</f>
        <v/>
      </c>
      <c r="AD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46249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46249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46249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46249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46249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46249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46249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46249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46249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46249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46249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46249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46249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46249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46249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46249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46249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46249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46249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46249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46249</v>
      </c>
      <c r="F36" t="inlineStr">
        <is>
          <t>VÄSTRA GÖTALANDS LÄN</t>
        </is>
      </c>
      <c r="G36" t="inlineStr">
        <is>
          <t>LERUM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46249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44828</v>
      </c>
      <c r="E38" s="1" t="n">
        <v>46249</v>
      </c>
      <c r="F38" t="inlineStr">
        <is>
          <t>VÄSTRA GÖTALANDS LÄN</t>
        </is>
      </c>
      <c r="G38" t="inlineStr">
        <is>
          <t>LERUM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44710</v>
      </c>
      <c r="E39" s="1" t="n">
        <v>46249</v>
      </c>
      <c r="F39" t="inlineStr">
        <is>
          <t>VÄSTRA GÖTALANDS LÄN</t>
        </is>
      </c>
      <c r="G39" t="inlineStr">
        <is>
          <t>LERUM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46249</v>
      </c>
      <c r="F40" t="inlineStr">
        <is>
          <t>VÄSTRA GÖTALANDS LÄN</t>
        </is>
      </c>
      <c r="G40" t="inlineStr">
        <is>
          <t>LERUM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46249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46249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46249</v>
      </c>
      <c r="F43" t="inlineStr">
        <is>
          <t>VÄSTRA GÖTALANDS LÄN</t>
        </is>
      </c>
      <c r="G43" t="inlineStr">
        <is>
          <t>LERUM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46249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17071-2024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45412</v>
      </c>
      <c r="E45" s="1" t="n">
        <v>46249</v>
      </c>
      <c r="F45" t="inlineStr">
        <is>
          <t>VÄSTRA GÖTALANDS LÄN</t>
        </is>
      </c>
      <c r="G45" t="inlineStr">
        <is>
          <t>LERUM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46249</v>
      </c>
      <c r="F46" t="inlineStr">
        <is>
          <t>VÄSTRA GÖTALANDS LÄN</t>
        </is>
      </c>
      <c r="G46" t="inlineStr">
        <is>
          <t>LERUM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46249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7429-2024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45345</v>
      </c>
      <c r="E48" s="1" t="n">
        <v>46249</v>
      </c>
      <c r="F48" t="inlineStr">
        <is>
          <t>VÄSTRA GÖTALANDS LÄN</t>
        </is>
      </c>
      <c r="G48" t="inlineStr">
        <is>
          <t>LERUM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46249</v>
      </c>
      <c r="F49" t="inlineStr">
        <is>
          <t>VÄSTRA GÖTALANDS LÄN</t>
        </is>
      </c>
      <c r="G49" t="inlineStr">
        <is>
          <t>LERUM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46249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45483-2025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46249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46249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46249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46249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46249</v>
      </c>
      <c r="F55" t="inlineStr">
        <is>
          <t>VÄSTRA GÖTALANDS LÄN</t>
        </is>
      </c>
      <c r="G55" t="inlineStr">
        <is>
          <t>LERUM</t>
        </is>
      </c>
      <c r="I55" t="n">
        <v>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46249</v>
      </c>
      <c r="F56" t="inlineStr">
        <is>
          <t>VÄSTRA GÖTALANDS LÄN</t>
        </is>
      </c>
      <c r="G56" t="inlineStr">
        <is>
          <t>LERUM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46249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46249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46249</v>
      </c>
      <c r="F59" t="inlineStr">
        <is>
          <t>VÄSTRA GÖTALANDS LÄN</t>
        </is>
      </c>
      <c r="G59" t="inlineStr">
        <is>
          <t>LERUM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46249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46249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46249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46249</v>
      </c>
      <c r="F63" t="inlineStr">
        <is>
          <t>VÄSTRA GÖTALANDS LÄN</t>
        </is>
      </c>
      <c r="G63" t="inlineStr">
        <is>
          <t>LERUM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46249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44943</v>
      </c>
      <c r="E65" s="1" t="n">
        <v>46249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46249</v>
      </c>
      <c r="F66" t="inlineStr">
        <is>
          <t>VÄSTRA GÖTALANDS LÄN</t>
        </is>
      </c>
      <c r="G66" t="inlineStr">
        <is>
          <t>LERUM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46249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46249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39113-2024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46249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35199-2023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45145</v>
      </c>
      <c r="E70" s="1" t="n">
        <v>46249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45971</v>
      </c>
      <c r="E71" s="1" t="n">
        <v>46249</v>
      </c>
      <c r="F71" t="inlineStr">
        <is>
          <t>VÄSTRA GÖTALANDS LÄN</t>
        </is>
      </c>
      <c r="G71" t="inlineStr">
        <is>
          <t>LERUM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46249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24163-2024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45441</v>
      </c>
      <c r="E73" s="1" t="n">
        <v>46249</v>
      </c>
      <c r="F73" t="inlineStr">
        <is>
          <t>VÄSTRA GÖTALANDS LÄN</t>
        </is>
      </c>
      <c r="G73" t="inlineStr">
        <is>
          <t>LERUM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46249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46249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21133-2022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44704</v>
      </c>
      <c r="E76" s="1" t="n">
        <v>46249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46249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46249</v>
      </c>
      <c r="F78" t="inlineStr">
        <is>
          <t>VÄSTRA GÖTALANDS LÄN</t>
        </is>
      </c>
      <c r="G78" t="inlineStr">
        <is>
          <t>LERUM</t>
        </is>
      </c>
      <c r="H78" t="inlineStr">
        <is>
          <t>Kyrkan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46249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46249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44700</v>
      </c>
      <c r="E81" s="1" t="n">
        <v>46249</v>
      </c>
      <c r="F81" t="inlineStr">
        <is>
          <t>VÄSTRA GÖTALANDS LÄN</t>
        </is>
      </c>
      <c r="G81" t="inlineStr">
        <is>
          <t>LERUM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13156-2024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45386</v>
      </c>
      <c r="E82" s="1" t="n">
        <v>46249</v>
      </c>
      <c r="F82" t="inlineStr">
        <is>
          <t>VÄSTRA GÖTALANDS LÄN</t>
        </is>
      </c>
      <c r="G82" t="inlineStr">
        <is>
          <t>LERUM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46249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46249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46249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46249</v>
      </c>
      <c r="F86" t="inlineStr">
        <is>
          <t>VÄSTRA GÖTALANDS LÄN</t>
        </is>
      </c>
      <c r="G86" t="inlineStr">
        <is>
          <t>LERUM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46249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46249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46249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45723</v>
      </c>
      <c r="E90" s="1" t="n">
        <v>46249</v>
      </c>
      <c r="F90" t="inlineStr">
        <is>
          <t>VÄSTRA GÖTALANDS LÄN</t>
        </is>
      </c>
      <c r="G90" t="inlineStr">
        <is>
          <t>LERUM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46249</v>
      </c>
      <c r="F91" t="inlineStr">
        <is>
          <t>VÄSTRA GÖTALANDS LÄN</t>
        </is>
      </c>
      <c r="G91" t="inlineStr">
        <is>
          <t>LERUM</t>
        </is>
      </c>
      <c r="I91" t="n">
        <v>23.3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46249</v>
      </c>
      <c r="F92" t="inlineStr">
        <is>
          <t>VÄSTRA GÖTALANDS LÄN</t>
        </is>
      </c>
      <c r="G92" t="inlineStr">
        <is>
          <t>LERUM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5359-2023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44959</v>
      </c>
      <c r="E93" s="1" t="n">
        <v>46249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46249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46249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46249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46249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46249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46249</v>
      </c>
      <c r="F99" t="inlineStr">
        <is>
          <t>VÄSTRA GÖTALANDS LÄN</t>
        </is>
      </c>
      <c r="G99" t="inlineStr">
        <is>
          <t>LERUM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46249</v>
      </c>
      <c r="F100" t="inlineStr">
        <is>
          <t>VÄSTRA GÖTALANDS LÄN</t>
        </is>
      </c>
      <c r="G100" t="inlineStr">
        <is>
          <t>LERUM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46249</v>
      </c>
      <c r="F101" t="inlineStr">
        <is>
          <t>VÄSTRA GÖTALANDS LÄN</t>
        </is>
      </c>
      <c r="G101" t="inlineStr">
        <is>
          <t>LERUM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46249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46249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46249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46249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46249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46249</v>
      </c>
      <c r="F107" t="inlineStr">
        <is>
          <t>VÄSTRA GÖTALANDS LÄN</t>
        </is>
      </c>
      <c r="G107" t="inlineStr">
        <is>
          <t>LERUM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45812</v>
      </c>
      <c r="E108" s="1" t="n">
        <v>46249</v>
      </c>
      <c r="F108" t="inlineStr">
        <is>
          <t>VÄSTRA GÖTALANDS LÄN</t>
        </is>
      </c>
      <c r="G108" t="inlineStr">
        <is>
          <t>LERUM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45055</v>
      </c>
      <c r="E109" s="1" t="n">
        <v>46249</v>
      </c>
      <c r="F109" t="inlineStr">
        <is>
          <t>VÄSTRA GÖTALANDS LÄN</t>
        </is>
      </c>
      <c r="G109" t="inlineStr">
        <is>
          <t>LERUM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46249</v>
      </c>
      <c r="F110" t="inlineStr">
        <is>
          <t>VÄSTRA GÖTALANDS LÄN</t>
        </is>
      </c>
      <c r="G110" t="inlineStr">
        <is>
          <t>LERUM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46249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46249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46249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46249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46249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46249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2026-08-15T08:30:21Z</dcterms:created>
  <dcterms:modified xmlns:dcterms="http://purl.org/dc/terms/" xmlns:xsi="http://www.w3.org/2001/XMLSchema-instance" xsi:type="dcterms:W3CDTF">2026-08-15T08:30:22Z</dcterms:modified>
</cp:coreProperties>
</file>