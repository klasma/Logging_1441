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46267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46267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46267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46267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46267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46267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46267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46267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46267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46267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46267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46267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46267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64855-2023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45282</v>
      </c>
      <c r="E15" s="1" t="n">
        <v>46267</v>
      </c>
      <c r="F15" t="inlineStr">
        <is>
          <t>VÄSTRA GÖTALANDS LÄN</t>
        </is>
      </c>
      <c r="G15" t="inlineStr">
        <is>
          <t>LERUM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Havsörn</t>
        </is>
      </c>
      <c r="W15">
        <f>HYPERLINK("https://klasma.github.io/Logging_1441/artfynd/A 64855-2023 artfynd.xlsx", "A 64855-2023")</f>
        <v/>
      </c>
      <c r="X15">
        <f>HYPERLINK("https://klasma.github.io/Logging_1441/kartor/A 64855-2023 karta.png", "A 64855-2023")</f>
        <v/>
      </c>
      <c r="Y15">
        <f>HYPERLINK("https://klasma.github.io/Logging_1441/kartor_geotiff/A 64855-2023 georefererad karta.tif", "A 64855-2023")</f>
        <v/>
      </c>
      <c r="AA15">
        <f>HYPERLINK("https://klasma.github.io/Logging_1441/klagomål/A 64855-2023 FSC-klagomål.docx", "A 64855-2023")</f>
        <v/>
      </c>
      <c r="AB15">
        <f>HYPERLINK("https://klasma.github.io/Logging_1441/klagomålsmail/A 64855-2023 FSC-klagomål mail.docx", "A 64855-2023")</f>
        <v/>
      </c>
      <c r="AC15">
        <f>HYPERLINK("https://klasma.github.io/Logging_1441/tillsyn/A 64855-2023 tillsynsbegäran.docx", "A 64855-2023")</f>
        <v/>
      </c>
      <c r="AD15">
        <f>HYPERLINK("https://klasma.github.io/Logging_1441/tillsynsmail/A 64855-2023 tillsynsbegäran mail.docx", "A 64855-2023")</f>
        <v/>
      </c>
      <c r="AE15">
        <f>HYPERLINK("https://klasma.github.io/Logging_1441/fåglar/A 64855-2023 prioriterade fågelarter.docx", "A 64855-2023")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46267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46267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46267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46267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46267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46267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46267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46267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46267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46267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46267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46267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46267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46267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46267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46267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46267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46267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46267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46267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46267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46267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46267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45345</v>
      </c>
      <c r="E39" s="1" t="n">
        <v>46267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46267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46267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44828</v>
      </c>
      <c r="E42" s="1" t="n">
        <v>46267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46267</v>
      </c>
      <c r="F43" t="inlineStr">
        <is>
          <t>VÄSTRA GÖTALANDS LÄN</t>
        </is>
      </c>
      <c r="G43" t="inlineStr">
        <is>
          <t>LERUM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46267</v>
      </c>
      <c r="F44" t="inlineStr">
        <is>
          <t>VÄSTRA GÖTALANDS LÄN</t>
        </is>
      </c>
      <c r="G44" t="inlineStr">
        <is>
          <t>LERUM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46267</v>
      </c>
      <c r="F45" t="inlineStr">
        <is>
          <t>VÄSTRA GÖTALANDS LÄN</t>
        </is>
      </c>
      <c r="G45" t="inlineStr">
        <is>
          <t>LERUM</t>
        </is>
      </c>
      <c r="I45" t="n">
        <v>7.2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28139-2024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46267</v>
      </c>
      <c r="F46" t="inlineStr">
        <is>
          <t>VÄSTRA GÖTALANDS LÄN</t>
        </is>
      </c>
      <c r="G46" t="inlineStr">
        <is>
          <t>LERUM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27367-2025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46267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39113-2024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46267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46267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46267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35199-2023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45145</v>
      </c>
      <c r="E51" s="1" t="n">
        <v>46267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46267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32095-2025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46267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32093-2025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46267</v>
      </c>
      <c r="F54" t="inlineStr">
        <is>
          <t>VÄSTRA GÖTALANDS LÄN</t>
        </is>
      </c>
      <c r="G54" t="inlineStr">
        <is>
          <t>LERUM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45565</v>
      </c>
      <c r="E55" s="1" t="n">
        <v>46267</v>
      </c>
      <c r="F55" t="inlineStr">
        <is>
          <t>VÄSTRA GÖTALANDS LÄN</t>
        </is>
      </c>
      <c r="G55" t="inlineStr">
        <is>
          <t>LERUM</t>
        </is>
      </c>
      <c r="H55" t="inlineStr">
        <is>
          <t>Kyrkan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46267</v>
      </c>
      <c r="F56" t="inlineStr">
        <is>
          <t>VÄSTRA GÖTALANDS LÄN</t>
        </is>
      </c>
      <c r="G56" t="inlineStr">
        <is>
          <t>LERUM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46267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45132-2025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45919</v>
      </c>
      <c r="E58" s="1" t="n">
        <v>46267</v>
      </c>
      <c r="F58" t="inlineStr">
        <is>
          <t>VÄSTRA GÖTALANDS LÄN</t>
        </is>
      </c>
      <c r="G58" t="inlineStr">
        <is>
          <t>LERUM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46267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46957-2025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45929</v>
      </c>
      <c r="E60" s="1" t="n">
        <v>46267</v>
      </c>
      <c r="F60" t="inlineStr">
        <is>
          <t>VÄSTRA GÖTALANDS LÄN</t>
        </is>
      </c>
      <c r="G60" t="inlineStr">
        <is>
          <t>LERUM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46267</v>
      </c>
      <c r="F61" t="inlineStr">
        <is>
          <t>VÄSTRA GÖTALANDS LÄN</t>
        </is>
      </c>
      <c r="G61" t="inlineStr">
        <is>
          <t>LERUM</t>
        </is>
      </c>
      <c r="H61" t="inlineStr">
        <is>
          <t>Kyrkan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46267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47866-2024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46267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46267</v>
      </c>
      <c r="F64" t="inlineStr">
        <is>
          <t>VÄSTRA GÖTALANDS LÄN</t>
        </is>
      </c>
      <c r="G64" t="inlineStr">
        <is>
          <t>LERUM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13156-2024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45386</v>
      </c>
      <c r="E65" s="1" t="n">
        <v>46267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46267</v>
      </c>
      <c r="F66" t="inlineStr">
        <is>
          <t>VÄSTRA GÖTALANDS LÄN</t>
        </is>
      </c>
      <c r="G66" t="inlineStr">
        <is>
          <t>LERUM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46267</v>
      </c>
      <c r="F67" t="inlineStr">
        <is>
          <t>VÄSTRA GÖTALANDS LÄN</t>
        </is>
      </c>
      <c r="G67" t="inlineStr">
        <is>
          <t>LERUM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46267</v>
      </c>
      <c r="F68" t="inlineStr">
        <is>
          <t>VÄSTRA GÖTALANDS LÄN</t>
        </is>
      </c>
      <c r="G68" t="inlineStr">
        <is>
          <t>LERUM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46267</v>
      </c>
      <c r="F69" t="inlineStr">
        <is>
          <t>VÄSTRA GÖTALANDS LÄN</t>
        </is>
      </c>
      <c r="G69" t="inlineStr">
        <is>
          <t>LERUM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46267</v>
      </c>
      <c r="F70" t="inlineStr">
        <is>
          <t>VÄSTRA GÖTALANDS LÄN</t>
        </is>
      </c>
      <c r="G70" t="inlineStr">
        <is>
          <t>LERUM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46267</v>
      </c>
      <c r="F71" t="inlineStr">
        <is>
          <t>VÄSTRA GÖTALANDS LÄN</t>
        </is>
      </c>
      <c r="G71" t="inlineStr">
        <is>
          <t>LERUM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44943</v>
      </c>
      <c r="E72" s="1" t="n">
        <v>46267</v>
      </c>
      <c r="F72" t="inlineStr">
        <is>
          <t>VÄSTRA GÖTALANDS LÄN</t>
        </is>
      </c>
      <c r="G72" t="inlineStr">
        <is>
          <t>LERUM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46267</v>
      </c>
      <c r="F73" t="inlineStr">
        <is>
          <t>VÄSTRA GÖTALANDS LÄN</t>
        </is>
      </c>
      <c r="G73" t="inlineStr">
        <is>
          <t>LERUM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46267</v>
      </c>
      <c r="F74" t="inlineStr">
        <is>
          <t>VÄSTRA GÖTALANDS LÄN</t>
        </is>
      </c>
      <c r="G74" t="inlineStr">
        <is>
          <t>LERUM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57195-2022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46267</v>
      </c>
      <c r="F75" t="inlineStr">
        <is>
          <t>VÄSTRA GÖTALANDS LÄN</t>
        </is>
      </c>
      <c r="G75" t="inlineStr">
        <is>
          <t>LERUM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46267</v>
      </c>
      <c r="F76" t="inlineStr">
        <is>
          <t>VÄSTRA GÖTALANDS LÄN</t>
        </is>
      </c>
      <c r="G76" t="inlineStr">
        <is>
          <t>LERUM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11232-2025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45726</v>
      </c>
      <c r="E77" s="1" t="n">
        <v>46267</v>
      </c>
      <c r="F77" t="inlineStr">
        <is>
          <t>VÄSTRA GÖTALANDS LÄN</t>
        </is>
      </c>
      <c r="G77" t="inlineStr">
        <is>
          <t>LERUM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46267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46267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46267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37441-2022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44809</v>
      </c>
      <c r="E81" s="1" t="n">
        <v>46267</v>
      </c>
      <c r="F81" t="inlineStr">
        <is>
          <t>VÄSTRA GÖTALANDS LÄN</t>
        </is>
      </c>
      <c r="G81" t="inlineStr">
        <is>
          <t>LERUM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46267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46267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45392</v>
      </c>
      <c r="E84" s="1" t="n">
        <v>46267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46267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46267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46267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46267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46267</v>
      </c>
      <c r="F89" t="inlineStr">
        <is>
          <t>VÄSTRA GÖTALANDS LÄN</t>
        </is>
      </c>
      <c r="G89" t="inlineStr">
        <is>
          <t>LERUM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45350</v>
      </c>
      <c r="E90" s="1" t="n">
        <v>46267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46267</v>
      </c>
      <c r="F91" t="inlineStr">
        <is>
          <t>VÄSTRA GÖTALANDS LÄN</t>
        </is>
      </c>
      <c r="G91" t="inlineStr">
        <is>
          <t>LERUM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46267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21133-2022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44704</v>
      </c>
      <c r="E93" s="1" t="n">
        <v>46267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46267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45055</v>
      </c>
      <c r="E95" s="1" t="n">
        <v>46267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45723</v>
      </c>
      <c r="E96" s="1" t="n">
        <v>46267</v>
      </c>
      <c r="F96" t="inlineStr">
        <is>
          <t>VÄSTRA GÖTALANDS LÄN</t>
        </is>
      </c>
      <c r="G96" t="inlineStr">
        <is>
          <t>LERUM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46267</v>
      </c>
      <c r="F97" t="inlineStr">
        <is>
          <t>VÄSTRA GÖTALANDS LÄN</t>
        </is>
      </c>
      <c r="G97" t="inlineStr">
        <is>
          <t>LERUM</t>
        </is>
      </c>
      <c r="I97" t="n">
        <v>23.3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46267</v>
      </c>
      <c r="F98" t="inlineStr">
        <is>
          <t>VÄSTRA GÖTALANDS LÄN</t>
        </is>
      </c>
      <c r="G98" t="inlineStr">
        <is>
          <t>LERUM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46267</v>
      </c>
      <c r="F99" t="inlineStr">
        <is>
          <t>VÄSTRA GÖTALANDS LÄN</t>
        </is>
      </c>
      <c r="G99" t="inlineStr">
        <is>
          <t>LERUM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31687-2025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46267</v>
      </c>
      <c r="F100" t="inlineStr">
        <is>
          <t>VÄSTRA GÖTALANDS LÄN</t>
        </is>
      </c>
      <c r="G100" t="inlineStr">
        <is>
          <t>LERUM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46267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46267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46267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46267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46267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46267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24163-2024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45441</v>
      </c>
      <c r="E107" s="1" t="n">
        <v>46267</v>
      </c>
      <c r="F107" t="inlineStr">
        <is>
          <t>VÄSTRA GÖTALANDS LÄN</t>
        </is>
      </c>
      <c r="G107" t="inlineStr">
        <is>
          <t>LERUM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20680-2022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44700</v>
      </c>
      <c r="E108" s="1" t="n">
        <v>46267</v>
      </c>
      <c r="F108" t="inlineStr">
        <is>
          <t>VÄSTRA GÖTALANDS LÄN</t>
        </is>
      </c>
      <c r="G108" t="inlineStr">
        <is>
          <t>LERUM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46267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44959</v>
      </c>
      <c r="E110" s="1" t="n">
        <v>46267</v>
      </c>
      <c r="F110" t="inlineStr">
        <is>
          <t>VÄSTRA GÖTALANDS LÄN</t>
        </is>
      </c>
      <c r="G110" t="inlineStr">
        <is>
          <t>LERUM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46267</v>
      </c>
      <c r="F111" t="inlineStr">
        <is>
          <t>VÄSTRA GÖTALANDS LÄN</t>
        </is>
      </c>
      <c r="G111" t="inlineStr">
        <is>
          <t>LERUM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46267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33070-2026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46267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46206</v>
      </c>
      <c r="E114" s="1" t="n">
        <v>46267</v>
      </c>
      <c r="F114" t="inlineStr">
        <is>
          <t>VÄSTRA GÖTALANDS LÄN</t>
        </is>
      </c>
      <c r="G114" t="inlineStr">
        <is>
          <t>LERUM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46267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46267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2026-09-02T02:03:37Z</dcterms:created>
  <dcterms:modified xmlns:dcterms="http://purl.org/dc/terms/" xmlns:xsi="http://www.w3.org/2001/XMLSchema-instance" xsi:type="dcterms:W3CDTF">2026-09-02T02:03:37Z</dcterms:modified>
</cp:coreProperties>
</file>