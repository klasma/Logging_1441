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46324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43</v>
      </c>
      <c r="U2" t="n">
        <v>1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46324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46324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3543-2024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45320</v>
      </c>
      <c r="E5" s="1" t="n">
        <v>46324</v>
      </c>
      <c r="F5" t="inlineStr">
        <is>
          <t>VÄSTRA GÖTALANDS LÄN</t>
        </is>
      </c>
      <c r="G5" t="inlineStr">
        <is>
          <t>LERUM</t>
        </is>
      </c>
      <c r="I5" t="n">
        <v>3.9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Grönhjon
Dolkstekelsglasvinge
Spillkråka
Huggorm</t>
        </is>
      </c>
      <c r="W5">
        <f>HYPERLINK("https://klasma.github.io/Logging_1441/artfynd/A 3543-2024 artfynd.xlsx", "A 3543-2024")</f>
        <v/>
      </c>
      <c r="X5">
        <f>HYPERLINK("https://klasma.github.io/Logging_1441/kartor/A 3543-2024 karta.png", "A 3543-2024")</f>
        <v/>
      </c>
      <c r="Y5">
        <f>HYPERLINK("https://klasma.github.io/Logging_1441/kartor_geotiff/A 3543-2024 georefererad karta.tif", "A 3543-2024")</f>
        <v/>
      </c>
      <c r="AA5">
        <f>HYPERLINK("https://klasma.github.io/Logging_1441/klagomål/A 3543-2024 FSC-klagomål.docx", "A 3543-2024")</f>
        <v/>
      </c>
      <c r="AB5">
        <f>HYPERLINK("https://klasma.github.io/Logging_1441/klagomålsmail/A 3543-2024 FSC-klagomål mail.docx", "A 3543-2024")</f>
        <v/>
      </c>
      <c r="AC5">
        <f>HYPERLINK("https://klasma.github.io/Logging_1441/tillsyn/A 3543-2024 tillsynsbegäran.docx", "A 3543-2024")</f>
        <v/>
      </c>
      <c r="AD5">
        <f>HYPERLINK("https://klasma.github.io/Logging_1441/tillsynsmail/A 3543-2024 tillsynsbegäran mail.docx", "A 3543-2024")</f>
        <v/>
      </c>
      <c r="AE5">
        <f>HYPERLINK("https://klasma.github.io/Logging_1441/fåglar/A 3543-2024 prioriterade fågelarter.docx", "A 3543-2024")</f>
        <v/>
      </c>
    </row>
    <row r="6" ht="15" customHeight="1">
      <c r="A6" t="inlineStr">
        <is>
          <t>A 28233-2022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44746</v>
      </c>
      <c r="E6" s="1" t="n">
        <v>46324</v>
      </c>
      <c r="F6" t="inlineStr">
        <is>
          <t>VÄSTRA GÖTALANDS LÄN</t>
        </is>
      </c>
      <c r="G6" t="inlineStr">
        <is>
          <t>LERUM</t>
        </is>
      </c>
      <c r="H6" t="inlineStr">
        <is>
          <t>Kommuner</t>
        </is>
      </c>
      <c r="I6" t="n">
        <v>1.7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6</v>
      </c>
      <c r="U6" t="n">
        <v>6</v>
      </c>
      <c r="V6" s="2" t="inlineStr">
        <is>
          <t>Ask
Björksplintborre
Vanlig groda
Revlummer</t>
        </is>
      </c>
      <c r="W6">
        <f>HYPERLINK("https://klasma.github.io/Logging_1441/artfynd/A 28233-2022 artfynd.xlsx", "A 28233-2022")</f>
        <v/>
      </c>
      <c r="X6">
        <f>HYPERLINK("https://klasma.github.io/Logging_1441/kartor/A 28233-2022 karta.png", "A 28233-2022")</f>
        <v/>
      </c>
      <c r="Y6">
        <f>HYPERLINK("https://klasma.github.io/Logging_1441/kartor_geotiff/A 28233-2022 georefererad karta.tif", "A 28233-2022")</f>
        <v/>
      </c>
      <c r="AA6">
        <f>HYPERLINK("https://klasma.github.io/Logging_1441/klagomål/A 28233-2022 FSC-klagomål.docx", "A 28233-2022")</f>
        <v/>
      </c>
      <c r="AB6">
        <f>HYPERLINK("https://klasma.github.io/Logging_1441/klagomålsmail/A 28233-2022 FSC-klagomål mail.docx", "A 28233-2022")</f>
        <v/>
      </c>
      <c r="AC6">
        <f>HYPERLINK("https://klasma.github.io/Logging_1441/tillsyn/A 28233-2022 tillsynsbegäran.docx", "A 28233-2022")</f>
        <v/>
      </c>
      <c r="AD6">
        <f>HYPERLINK("https://klasma.github.io/Logging_1441/tillsynsmail/A 28233-2022 tillsynsbegäran mail.docx", "A 28233-2022")</f>
        <v/>
      </c>
    </row>
    <row r="7" ht="15" customHeight="1">
      <c r="A7" t="inlineStr">
        <is>
          <t>A 2443-2023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44943</v>
      </c>
      <c r="E7" s="1" t="n">
        <v>46324</v>
      </c>
      <c r="F7" t="inlineStr">
        <is>
          <t>VÄSTRA GÖTALANDS LÄN</t>
        </is>
      </c>
      <c r="G7" t="inlineStr">
        <is>
          <t>LERUM</t>
        </is>
      </c>
      <c r="I7" t="n">
        <v>3.3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Björksplintborre
Större brunfladdermus
Vanlig padda
Vanlig snok</t>
        </is>
      </c>
      <c r="W7">
        <f>HYPERLINK("https://klasma.github.io/Logging_1441/artfynd/A 2443-2023 artfynd.xlsx", "A 2443-2023")</f>
        <v/>
      </c>
      <c r="X7">
        <f>HYPERLINK("https://klasma.github.io/Logging_1441/kartor/A 2443-2023 karta.png", "A 2443-2023")</f>
        <v/>
      </c>
      <c r="Y7">
        <f>HYPERLINK("https://klasma.github.io/Logging_1441/kartor_geotiff/A 2443-2023 georefererad karta.tif", "A 2443-2023")</f>
        <v/>
      </c>
      <c r="AA7">
        <f>HYPERLINK("https://klasma.github.io/Logging_1441/klagomål/A 2443-2023 FSC-klagomål.docx", "A 2443-2023")</f>
        <v/>
      </c>
      <c r="AB7">
        <f>HYPERLINK("https://klasma.github.io/Logging_1441/klagomålsmail/A 2443-2023 FSC-klagomål mail.docx", "A 2443-2023")</f>
        <v/>
      </c>
      <c r="AC7">
        <f>HYPERLINK("https://klasma.github.io/Logging_1441/tillsyn/A 2443-2023 tillsynsbegäran.docx", "A 2443-2023")</f>
        <v/>
      </c>
      <c r="AD7">
        <f>HYPERLINK("https://klasma.github.io/Logging_1441/tillsynsmail/A 2443-2023 tillsynsbegäran mail.docx", "A 2443-2023")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46324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46324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46324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46324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46324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46324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20570-2023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45057</v>
      </c>
      <c r="E14" s="1" t="n">
        <v>46324</v>
      </c>
      <c r="F14" t="inlineStr">
        <is>
          <t>VÄSTRA GÖTALANDS LÄN</t>
        </is>
      </c>
      <c r="G14" t="inlineStr">
        <is>
          <t>LERUM</t>
        </is>
      </c>
      <c r="I14" t="n">
        <v>5.6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Vedticka</t>
        </is>
      </c>
      <c r="W14">
        <f>HYPERLINK("https://klasma.github.io/Logging_1441/artfynd/A 20570-2023 artfynd.xlsx", "A 20570-2023")</f>
        <v/>
      </c>
      <c r="X14">
        <f>HYPERLINK("https://klasma.github.io/Logging_1441/kartor/A 20570-2023 karta.png", "A 20570-2023")</f>
        <v/>
      </c>
      <c r="Y14">
        <f>HYPERLINK("https://klasma.github.io/Logging_1441/kartor_geotiff/A 20570-2023 georefererad karta.tif", "A 20570-2023")</f>
        <v/>
      </c>
      <c r="AA14">
        <f>HYPERLINK("https://klasma.github.io/Logging_1441/klagomål/A 20570-2023 FSC-klagomål.docx", "A 20570-2023")</f>
        <v/>
      </c>
      <c r="AB14">
        <f>HYPERLINK("https://klasma.github.io/Logging_1441/klagomålsmail/A 20570-2023 FSC-klagomål mail.docx", "A 20570-2023")</f>
        <v/>
      </c>
      <c r="AC14">
        <f>HYPERLINK("https://klasma.github.io/Logging_1441/tillsyn/A 20570-2023 tillsynsbegäran.docx", "A 20570-2023")</f>
        <v/>
      </c>
      <c r="AD14">
        <f>HYPERLINK("https://klasma.github.io/Logging_1441/tillsynsmail/A 20570-2023 tillsynsbegäran mail.docx", "A 20570-2023")</f>
        <v/>
      </c>
    </row>
    <row r="15" ht="15" customHeight="1">
      <c r="A15" t="inlineStr">
        <is>
          <t>A 15136-2022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44658</v>
      </c>
      <c r="E15" s="1" t="n">
        <v>46324</v>
      </c>
      <c r="F15" t="inlineStr">
        <is>
          <t>VÄSTRA GÖTALANDS LÄN</t>
        </is>
      </c>
      <c r="G15" t="inlineStr">
        <is>
          <t>LERUM</t>
        </is>
      </c>
      <c r="I15" t="n">
        <v>0.4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HYPERLINK("https://klasma.github.io/Logging_1441/artfynd/A 15136-2022 artfynd.xlsx", "A 15136-2022")</f>
        <v/>
      </c>
      <c r="X15">
        <f>HYPERLINK("https://klasma.github.io/Logging_1441/kartor/A 15136-2022 karta.png", "A 15136-2022")</f>
        <v/>
      </c>
      <c r="Y15">
        <f>HYPERLINK("https://klasma.github.io/Logging_1441/kartor_geotiff/A 15136-2022 georefererad karta.tif", "A 15136-2022")</f>
        <v/>
      </c>
      <c r="AA15">
        <f>HYPERLINK("https://klasma.github.io/Logging_1441/klagomål/A 15136-2022 FSC-klagomål.docx", "A 15136-2022")</f>
        <v/>
      </c>
      <c r="AB15">
        <f>HYPERLINK("https://klasma.github.io/Logging_1441/klagomålsmail/A 15136-2022 FSC-klagomål mail.docx", "A 15136-2022")</f>
        <v/>
      </c>
      <c r="AC15">
        <f>HYPERLINK("https://klasma.github.io/Logging_1441/tillsyn/A 15136-2022 tillsynsbegäran.docx", "A 15136-2022")</f>
        <v/>
      </c>
      <c r="AD15">
        <f>HYPERLINK("https://klasma.github.io/Logging_1441/tillsynsmail/A 15136-2022 tillsynsbegäran mail.docx", "A 15136-2022")</f>
        <v/>
      </c>
      <c r="AE15">
        <f>HYPERLINK("https://klasma.github.io/Logging_1441/fåglar/A 15136-2022 prioriterade fågelarter.docx", "A 15136-2022")</f>
        <v/>
      </c>
    </row>
    <row r="16" ht="15" customHeight="1">
      <c r="A16" t="inlineStr">
        <is>
          <t>A 26568-2023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46324</v>
      </c>
      <c r="F16" t="inlineStr">
        <is>
          <t>VÄSTRA GÖTALANDS LÄN</t>
        </is>
      </c>
      <c r="G16" t="inlineStr">
        <is>
          <t>LERUM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Svart jordtunga</t>
        </is>
      </c>
      <c r="W16">
        <f>HYPERLINK("https://klasma.github.io/Logging_1441/artfynd/A 26568-2023 artfynd.xlsx", "A 26568-2023")</f>
        <v/>
      </c>
      <c r="X16">
        <f>HYPERLINK("https://klasma.github.io/Logging_1441/kartor/A 26568-2023 karta.png", "A 26568-2023")</f>
        <v/>
      </c>
      <c r="Y16">
        <f>HYPERLINK("https://klasma.github.io/Logging_1441/kartor_geotiff/A 26568-2023 georefererad karta.tif", "A 26568-2023")</f>
        <v/>
      </c>
      <c r="AA16">
        <f>HYPERLINK("https://klasma.github.io/Logging_1441/klagomål/A 26568-2023 FSC-klagomål.docx", "A 26568-2023")</f>
        <v/>
      </c>
      <c r="AB16">
        <f>HYPERLINK("https://klasma.github.io/Logging_1441/klagomålsmail/A 26568-2023 FSC-klagomål mail.docx", "A 26568-2023")</f>
        <v/>
      </c>
      <c r="AC16">
        <f>HYPERLINK("https://klasma.github.io/Logging_1441/tillsyn/A 26568-2023 tillsynsbegäran.docx", "A 26568-2023")</f>
        <v/>
      </c>
      <c r="AD16">
        <f>HYPERLINK("https://klasma.github.io/Logging_1441/tillsynsmail/A 26568-2023 tillsynsbegäran mail.docx", "A 26568-2023")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46324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46324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46324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46324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46324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46324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46324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46324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46324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46324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46324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46324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46324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46324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46324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46324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45805</v>
      </c>
      <c r="E33" s="1" t="n">
        <v>46324</v>
      </c>
      <c r="F33" t="inlineStr">
        <is>
          <t>VÄSTRA GÖTALANDS LÄN</t>
        </is>
      </c>
      <c r="G33" t="inlineStr">
        <is>
          <t>LERUM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45887</v>
      </c>
      <c r="E34" s="1" t="n">
        <v>46324</v>
      </c>
      <c r="F34" t="inlineStr">
        <is>
          <t>VÄSTRA GÖTALANDS LÄN</t>
        </is>
      </c>
      <c r="G34" t="inlineStr">
        <is>
          <t>LERUM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20680-2022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46324</v>
      </c>
      <c r="F35" t="inlineStr">
        <is>
          <t>VÄSTRA GÖTALANDS LÄN</t>
        </is>
      </c>
      <c r="G35" t="inlineStr">
        <is>
          <t>LERUM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27367-2025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45812</v>
      </c>
      <c r="E36" s="1" t="n">
        <v>46324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46324</v>
      </c>
      <c r="F37" t="inlineStr">
        <is>
          <t>VÄSTRA GÖTALANDS LÄN</t>
        </is>
      </c>
      <c r="G37" t="inlineStr">
        <is>
          <t>LERUM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40709-2023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46324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40848-2025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45897</v>
      </c>
      <c r="E39" s="1" t="n">
        <v>46324</v>
      </c>
      <c r="F39" t="inlineStr">
        <is>
          <t>VÄSTRA GÖTALANDS LÄN</t>
        </is>
      </c>
      <c r="G39" t="inlineStr">
        <is>
          <t>LERUM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46324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24163-2024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45441</v>
      </c>
      <c r="E41" s="1" t="n">
        <v>46324</v>
      </c>
      <c r="F41" t="inlineStr">
        <is>
          <t>VÄSTRA GÖTALANDS LÄN</t>
        </is>
      </c>
      <c r="G41" t="inlineStr">
        <is>
          <t>LERUM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14067-2024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45392</v>
      </c>
      <c r="E42" s="1" t="n">
        <v>46324</v>
      </c>
      <c r="F42" t="inlineStr">
        <is>
          <t>VÄSTRA GÖTALANDS LÄN</t>
        </is>
      </c>
      <c r="G42" t="inlineStr">
        <is>
          <t>LERUM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46324</v>
      </c>
      <c r="F43" t="inlineStr">
        <is>
          <t>VÄSTRA GÖTALANDS LÄN</t>
        </is>
      </c>
      <c r="G43" t="inlineStr">
        <is>
          <t>LERUM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46324</v>
      </c>
      <c r="F44" t="inlineStr">
        <is>
          <t>VÄSTRA GÖTALANDS LÄN</t>
        </is>
      </c>
      <c r="G44" t="inlineStr">
        <is>
          <t>LERUM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45132-2025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45919</v>
      </c>
      <c r="E45" s="1" t="n">
        <v>46324</v>
      </c>
      <c r="F45" t="inlineStr">
        <is>
          <t>VÄSTRA GÖTALANDS LÄN</t>
        </is>
      </c>
      <c r="G45" t="inlineStr">
        <is>
          <t>LERUM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46324</v>
      </c>
      <c r="F46" t="inlineStr">
        <is>
          <t>VÄSTRA GÖTALANDS LÄN</t>
        </is>
      </c>
      <c r="G46" t="inlineStr">
        <is>
          <t>LERUM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46324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44959</v>
      </c>
      <c r="E48" s="1" t="n">
        <v>46324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46324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46324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46957-2025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45929</v>
      </c>
      <c r="E51" s="1" t="n">
        <v>46324</v>
      </c>
      <c r="F51" t="inlineStr">
        <is>
          <t>VÄSTRA GÖTALANDS LÄN</t>
        </is>
      </c>
      <c r="G51" t="inlineStr">
        <is>
          <t>LERUM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46324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66104-2021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46324</v>
      </c>
      <c r="F53" t="inlineStr">
        <is>
          <t>VÄSTRA GÖTALANDS LÄN</t>
        </is>
      </c>
      <c r="G53" t="inlineStr">
        <is>
          <t>LERUM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46324</v>
      </c>
      <c r="F54" t="inlineStr">
        <is>
          <t>VÄSTRA GÖTALANDS LÄN</t>
        </is>
      </c>
      <c r="G54" t="inlineStr">
        <is>
          <t>LERUM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46324</v>
      </c>
      <c r="F55" t="inlineStr">
        <is>
          <t>VÄSTRA GÖTALANDS LÄN</t>
        </is>
      </c>
      <c r="G55" t="inlineStr">
        <is>
          <t>LERUM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46324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46324</v>
      </c>
      <c r="F57" t="inlineStr">
        <is>
          <t>VÄSTRA GÖTALANDS LÄN</t>
        </is>
      </c>
      <c r="G57" t="inlineStr">
        <is>
          <t>LERUM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44943</v>
      </c>
      <c r="E58" s="1" t="n">
        <v>46324</v>
      </c>
      <c r="F58" t="inlineStr">
        <is>
          <t>VÄSTRA GÖTALANDS LÄN</t>
        </is>
      </c>
      <c r="G58" t="inlineStr">
        <is>
          <t>LERUM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46324</v>
      </c>
      <c r="F59" t="inlineStr">
        <is>
          <t>VÄSTRA GÖTALANDS LÄN</t>
        </is>
      </c>
      <c r="G59" t="inlineStr">
        <is>
          <t>LERUM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46324</v>
      </c>
      <c r="F60" t="inlineStr">
        <is>
          <t>VÄSTRA GÖTALANDS LÄN</t>
        </is>
      </c>
      <c r="G60" t="inlineStr">
        <is>
          <t>LERUM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46324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46324</v>
      </c>
      <c r="F62" t="inlineStr">
        <is>
          <t>VÄSTRA GÖTALANDS LÄN</t>
        </is>
      </c>
      <c r="G62" t="inlineStr">
        <is>
          <t>LERUM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46324</v>
      </c>
      <c r="F63" t="inlineStr">
        <is>
          <t>VÄSTRA GÖTALANDS LÄN</t>
        </is>
      </c>
      <c r="G63" t="inlineStr">
        <is>
          <t>LERUM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46324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46324</v>
      </c>
      <c r="F65" t="inlineStr">
        <is>
          <t>VÄSTRA GÖTALANDS LÄN</t>
        </is>
      </c>
      <c r="G65" t="inlineStr">
        <is>
          <t>LERUM</t>
        </is>
      </c>
      <c r="H65" t="inlineStr">
        <is>
          <t>Kyrkan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45971</v>
      </c>
      <c r="E66" s="1" t="n">
        <v>46324</v>
      </c>
      <c r="F66" t="inlineStr">
        <is>
          <t>VÄSTRA GÖTALANDS LÄN</t>
        </is>
      </c>
      <c r="G66" t="inlineStr">
        <is>
          <t>LERUM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50420-2023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46324</v>
      </c>
      <c r="F67" t="inlineStr">
        <is>
          <t>VÄSTRA GÖTALANDS LÄN</t>
        </is>
      </c>
      <c r="G67" t="inlineStr">
        <is>
          <t>LERUM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28118-2024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45476</v>
      </c>
      <c r="E68" s="1" t="n">
        <v>46324</v>
      </c>
      <c r="F68" t="inlineStr">
        <is>
          <t>VÄSTRA GÖTALANDS LÄN</t>
        </is>
      </c>
      <c r="G68" t="inlineStr">
        <is>
          <t>LERUM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45476</v>
      </c>
      <c r="E69" s="1" t="n">
        <v>46324</v>
      </c>
      <c r="F69" t="inlineStr">
        <is>
          <t>VÄSTRA GÖTALANDS LÄN</t>
        </is>
      </c>
      <c r="G69" t="inlineStr">
        <is>
          <t>LERUM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45982</v>
      </c>
      <c r="E70" s="1" t="n">
        <v>46324</v>
      </c>
      <c r="F70" t="inlineStr">
        <is>
          <t>VÄSTRA GÖTALANDS LÄN</t>
        </is>
      </c>
      <c r="G70" t="inlineStr">
        <is>
          <t>LERUM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46324</v>
      </c>
      <c r="F71" t="inlineStr">
        <is>
          <t>VÄSTRA GÖTALANDS LÄN</t>
        </is>
      </c>
      <c r="G71" t="inlineStr">
        <is>
          <t>LERUM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46324</v>
      </c>
      <c r="F72" t="inlineStr">
        <is>
          <t>VÄSTRA GÖTALANDS LÄN</t>
        </is>
      </c>
      <c r="G72" t="inlineStr">
        <is>
          <t>LERUM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46324</v>
      </c>
      <c r="F73" t="inlineStr">
        <is>
          <t>VÄSTRA GÖTALANDS LÄN</t>
        </is>
      </c>
      <c r="G73" t="inlineStr">
        <is>
          <t>LERUM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46324</v>
      </c>
      <c r="F74" t="inlineStr">
        <is>
          <t>VÄSTRA GÖTALANDS LÄN</t>
        </is>
      </c>
      <c r="G74" t="inlineStr">
        <is>
          <t>LERUM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62769-2025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46008</v>
      </c>
      <c r="E75" s="1" t="n">
        <v>46324</v>
      </c>
      <c r="F75" t="inlineStr">
        <is>
          <t>VÄSTRA GÖTALANDS LÄN</t>
        </is>
      </c>
      <c r="G75" t="inlineStr">
        <is>
          <t>LERUM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46008</v>
      </c>
      <c r="E76" s="1" t="n">
        <v>46324</v>
      </c>
      <c r="F76" t="inlineStr">
        <is>
          <t>VÄSTRA GÖTALANDS LÄN</t>
        </is>
      </c>
      <c r="G76" t="inlineStr">
        <is>
          <t>LERUM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46324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46324</v>
      </c>
      <c r="F78" t="inlineStr">
        <is>
          <t>VÄSTRA GÖTALANDS LÄN</t>
        </is>
      </c>
      <c r="G78" t="inlineStr">
        <is>
          <t>LERUM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46324</v>
      </c>
      <c r="F79" t="inlineStr">
        <is>
          <t>VÄSTRA GÖTALANDS LÄN</t>
        </is>
      </c>
      <c r="G79" t="inlineStr">
        <is>
          <t>LERUM</t>
        </is>
      </c>
      <c r="H79" t="inlineStr">
        <is>
          <t>Kyrkan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46324</v>
      </c>
      <c r="F80" t="inlineStr">
        <is>
          <t>VÄSTRA GÖTALANDS LÄN</t>
        </is>
      </c>
      <c r="G80" t="inlineStr">
        <is>
          <t>LERUM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46324</v>
      </c>
      <c r="F81" t="inlineStr">
        <is>
          <t>VÄSTRA GÖTALANDS LÄN</t>
        </is>
      </c>
      <c r="G81" t="inlineStr">
        <is>
          <t>LERUM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45300</v>
      </c>
      <c r="E82" s="1" t="n">
        <v>46324</v>
      </c>
      <c r="F82" t="inlineStr">
        <is>
          <t>VÄSTRA GÖTALANDS LÄN</t>
        </is>
      </c>
      <c r="G82" t="inlineStr">
        <is>
          <t>LERUM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11232-2025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45726</v>
      </c>
      <c r="E83" s="1" t="n">
        <v>46324</v>
      </c>
      <c r="F83" t="inlineStr">
        <is>
          <t>VÄSTRA GÖTALANDS LÄN</t>
        </is>
      </c>
      <c r="G83" t="inlineStr">
        <is>
          <t>LERUM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46324</v>
      </c>
      <c r="F84" t="inlineStr">
        <is>
          <t>VÄSTRA GÖTALANDS LÄN</t>
        </is>
      </c>
      <c r="G84" t="inlineStr">
        <is>
          <t>LERUM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35199-2023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45145</v>
      </c>
      <c r="E85" s="1" t="n">
        <v>46324</v>
      </c>
      <c r="F85" t="inlineStr">
        <is>
          <t>VÄSTRA GÖTALANDS LÄN</t>
        </is>
      </c>
      <c r="G85" t="inlineStr">
        <is>
          <t>LERUM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44710</v>
      </c>
      <c r="E86" s="1" t="n">
        <v>46324</v>
      </c>
      <c r="F86" t="inlineStr">
        <is>
          <t>VÄSTRA GÖTALANDS LÄN</t>
        </is>
      </c>
      <c r="G86" t="inlineStr">
        <is>
          <t>LERUM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46324</v>
      </c>
      <c r="F87" t="inlineStr">
        <is>
          <t>VÄSTRA GÖTALANDS LÄN</t>
        </is>
      </c>
      <c r="G87" t="inlineStr">
        <is>
          <t>LERUM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45055</v>
      </c>
      <c r="E88" s="1" t="n">
        <v>46324</v>
      </c>
      <c r="F88" t="inlineStr">
        <is>
          <t>VÄSTRA GÖTALANDS LÄN</t>
        </is>
      </c>
      <c r="G88" t="inlineStr">
        <is>
          <t>LERUM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21133-2022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44704</v>
      </c>
      <c r="E89" s="1" t="n">
        <v>46324</v>
      </c>
      <c r="F89" t="inlineStr">
        <is>
          <t>VÄSTRA GÖTALANDS LÄN</t>
        </is>
      </c>
      <c r="G89" t="inlineStr">
        <is>
          <t>LERUM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46132</v>
      </c>
      <c r="E90" s="1" t="n">
        <v>46324</v>
      </c>
      <c r="F90" t="inlineStr">
        <is>
          <t>VÄSTRA GÖTALANDS LÄN</t>
        </is>
      </c>
      <c r="G90" t="inlineStr">
        <is>
          <t>LERUM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46324</v>
      </c>
      <c r="F91" t="inlineStr">
        <is>
          <t>VÄSTRA GÖTALANDS LÄN</t>
        </is>
      </c>
      <c r="G91" t="inlineStr">
        <is>
          <t>LERUM</t>
        </is>
      </c>
      <c r="I91" t="n">
        <v>23.3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46324</v>
      </c>
      <c r="F92" t="inlineStr">
        <is>
          <t>VÄSTRA GÖTALANDS LÄN</t>
        </is>
      </c>
      <c r="G92" t="inlineStr">
        <is>
          <t>LERUM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46324</v>
      </c>
      <c r="F93" t="inlineStr">
        <is>
          <t>VÄSTRA GÖTALANDS LÄN</t>
        </is>
      </c>
      <c r="G93" t="inlineStr">
        <is>
          <t>LERUM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46324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45834</v>
      </c>
      <c r="E95" s="1" t="n">
        <v>46324</v>
      </c>
      <c r="F95" t="inlineStr">
        <is>
          <t>VÄSTRA GÖTALANDS LÄN</t>
        </is>
      </c>
      <c r="G95" t="inlineStr">
        <is>
          <t>LERUM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47944-2024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46324</v>
      </c>
      <c r="F96" t="inlineStr">
        <is>
          <t>VÄSTRA GÖTALANDS LÄN</t>
        </is>
      </c>
      <c r="G96" t="inlineStr">
        <is>
          <t>LERUM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33070-2026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46245</v>
      </c>
      <c r="E97" s="1" t="n">
        <v>46324</v>
      </c>
      <c r="F97" t="inlineStr">
        <is>
          <t>VÄSTRA GÖTALANDS LÄN</t>
        </is>
      </c>
      <c r="G97" t="inlineStr">
        <is>
          <t>LERUM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46324</v>
      </c>
      <c r="F98" t="inlineStr">
        <is>
          <t>VÄSTRA GÖTALANDS LÄN</t>
        </is>
      </c>
      <c r="G98" t="inlineStr">
        <is>
          <t>LERUM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46324</v>
      </c>
      <c r="F99" t="inlineStr">
        <is>
          <t>VÄSTRA GÖTALANDS LÄN</t>
        </is>
      </c>
      <c r="G99" t="inlineStr">
        <is>
          <t>LERUM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46324</v>
      </c>
      <c r="F100" t="inlineStr">
        <is>
          <t>VÄSTRA GÖTALANDS LÄN</t>
        </is>
      </c>
      <c r="G100" t="inlineStr">
        <is>
          <t>LERUM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46324</v>
      </c>
      <c r="F101" t="inlineStr">
        <is>
          <t>VÄSTRA GÖTALANDS LÄN</t>
        </is>
      </c>
      <c r="G101" t="inlineStr">
        <is>
          <t>LERUM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46324</v>
      </c>
      <c r="F102" t="inlineStr">
        <is>
          <t>VÄSTRA GÖTALANDS LÄN</t>
        </is>
      </c>
      <c r="G102" t="inlineStr">
        <is>
          <t>LERUM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46324</v>
      </c>
      <c r="F103" t="inlineStr">
        <is>
          <t>VÄSTRA GÖTALANDS LÄN</t>
        </is>
      </c>
      <c r="G103" t="inlineStr">
        <is>
          <t>LERUM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46324</v>
      </c>
      <c r="F104" t="inlineStr">
        <is>
          <t>VÄSTRA GÖTALANDS LÄN</t>
        </is>
      </c>
      <c r="G104" t="inlineStr">
        <is>
          <t>LERUM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46324</v>
      </c>
      <c r="F105" t="inlineStr">
        <is>
          <t>VÄSTRA GÖTALANDS LÄN</t>
        </is>
      </c>
      <c r="G105" t="inlineStr">
        <is>
          <t>LERUM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44828</v>
      </c>
      <c r="E106" s="1" t="n">
        <v>46324</v>
      </c>
      <c r="F106" t="inlineStr">
        <is>
          <t>VÄSTRA GÖTALANDS LÄN</t>
        </is>
      </c>
      <c r="G106" t="inlineStr">
        <is>
          <t>LERUM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46316</v>
      </c>
      <c r="E107" s="1" t="n">
        <v>46324</v>
      </c>
      <c r="F107" t="inlineStr">
        <is>
          <t>VÄSTRA GÖTALANDS LÄN</t>
        </is>
      </c>
      <c r="G107" t="inlineStr">
        <is>
          <t>LERUM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46276</v>
      </c>
      <c r="E108" s="1" t="n">
        <v>46324</v>
      </c>
      <c r="F108" t="inlineStr">
        <is>
          <t>VÄSTRA GÖTALANDS LÄN</t>
        </is>
      </c>
      <c r="G108" t="inlineStr">
        <is>
          <t>LERUM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46324</v>
      </c>
      <c r="F109" t="inlineStr">
        <is>
          <t>VÄSTRA GÖTALANDS LÄN</t>
        </is>
      </c>
      <c r="G109" t="inlineStr">
        <is>
          <t>LERUM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7429-2024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45345</v>
      </c>
      <c r="E110" s="1" t="n">
        <v>46324</v>
      </c>
      <c r="F110" t="inlineStr">
        <is>
          <t>VÄSTRA GÖTALANDS LÄN</t>
        </is>
      </c>
      <c r="G110" t="inlineStr">
        <is>
          <t>LERUM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45412</v>
      </c>
      <c r="E111" s="1" t="n">
        <v>46324</v>
      </c>
      <c r="F111" t="inlineStr">
        <is>
          <t>VÄSTRA GÖTALANDS LÄN</t>
        </is>
      </c>
      <c r="G111" t="inlineStr">
        <is>
          <t>LERUM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46324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46324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2026-10-29T03:13:05Z</dcterms:created>
  <dcterms:modified xmlns:dcterms="http://purl.org/dc/terms/" xmlns:xsi="http://www.w3.org/2001/XMLSchema-instance" xsi:type="dcterms:W3CDTF">2026-10-29T03:13:05Z</dcterms:modified>
</cp:coreProperties>
</file>