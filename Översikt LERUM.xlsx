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46260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46260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46260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46260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46260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46260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46260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46260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46260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46260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46260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46260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46260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10410-2022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46260</v>
      </c>
      <c r="F15" t="inlineStr">
        <is>
          <t>VÄSTRA GÖTALANDS LÄN</t>
        </is>
      </c>
      <c r="G15" t="inlineStr">
        <is>
          <t>LERUM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HYPERLINK("https://klasma.github.io/Logging_1441/artfynd/A 10410-2022 artfynd.xlsx", "A 10410-2022")</f>
        <v/>
      </c>
      <c r="X15">
        <f>HYPERLINK("https://klasma.github.io/Logging_1441/kartor/A 10410-2022 karta.png", "A 10410-2022")</f>
        <v/>
      </c>
      <c r="Y15">
        <f>HYPERLINK("https://klasma.github.io/Logging_1441/kartor_geotiff/A 10410-2022 georefererad karta.tif", "A 10410-2022")</f>
        <v/>
      </c>
      <c r="AA15">
        <f>HYPERLINK("https://klasma.github.io/Logging_1441/klagomål/A 10410-2022 FSC-klagomål.docx", "A 10410-2022")</f>
        <v/>
      </c>
      <c r="AB15">
        <f>HYPERLINK("https://klasma.github.io/Logging_1441/klagomålsmail/A 10410-2022 FSC-klagomål mail.docx", "A 10410-2022")</f>
        <v/>
      </c>
      <c r="AC15">
        <f>HYPERLINK("https://klasma.github.io/Logging_1441/tillsyn/A 10410-2022 tillsynsbegäran.docx", "A 10410-2022")</f>
        <v/>
      </c>
      <c r="AD15">
        <f>HYPERLINK("https://klasma.github.io/Logging_1441/tillsynsmail/A 10410-2022 tillsynsbegäran mail.docx", "A 10410-2022")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46260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46260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46260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46260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46260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46260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46260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46260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46260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46260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46260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46260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46260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46260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46260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46260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46260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46260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46260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46260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46260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46260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13156-2024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45386</v>
      </c>
      <c r="E38" s="1" t="n">
        <v>46260</v>
      </c>
      <c r="F38" t="inlineStr">
        <is>
          <t>VÄSTRA GÖTALANDS LÄN</t>
        </is>
      </c>
      <c r="G38" t="inlineStr">
        <is>
          <t>LERUM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35199-2023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45145</v>
      </c>
      <c r="E39" s="1" t="n">
        <v>46260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45055</v>
      </c>
      <c r="E40" s="1" t="n">
        <v>46260</v>
      </c>
      <c r="F40" t="inlineStr">
        <is>
          <t>VÄSTRA GÖTALANDS LÄN</t>
        </is>
      </c>
      <c r="G40" t="inlineStr">
        <is>
          <t>LERUM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46260</v>
      </c>
      <c r="F41" t="inlineStr">
        <is>
          <t>VÄSTRA GÖTALANDS LÄN</t>
        </is>
      </c>
      <c r="G41" t="inlineStr">
        <is>
          <t>LERUM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46036</v>
      </c>
      <c r="E42" s="1" t="n">
        <v>46260</v>
      </c>
      <c r="F42" t="inlineStr">
        <is>
          <t>VÄSTRA GÖTALANDS LÄN</t>
        </is>
      </c>
      <c r="G42" t="inlineStr">
        <is>
          <t>LERUM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46260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46260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46260</v>
      </c>
      <c r="F45" t="inlineStr">
        <is>
          <t>VÄSTRA GÖTALANDS LÄN</t>
        </is>
      </c>
      <c r="G45" t="inlineStr">
        <is>
          <t>LERUM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40848-2025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45897</v>
      </c>
      <c r="E46" s="1" t="n">
        <v>46260</v>
      </c>
      <c r="F46" t="inlineStr">
        <is>
          <t>VÄSTRA GÖTALANDS LÄN</t>
        </is>
      </c>
      <c r="G46" t="inlineStr">
        <is>
          <t>LERUM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11232-2025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45726</v>
      </c>
      <c r="E47" s="1" t="n">
        <v>46260</v>
      </c>
      <c r="F47" t="inlineStr">
        <is>
          <t>VÄSTRA GÖTALANDS LÄN</t>
        </is>
      </c>
      <c r="G47" t="inlineStr">
        <is>
          <t>LERUM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23592-2022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46260</v>
      </c>
      <c r="F48" t="inlineStr">
        <is>
          <t>VÄSTRA GÖTALANDS LÄN</t>
        </is>
      </c>
      <c r="G48" t="inlineStr">
        <is>
          <t>LERUM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37441-2022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46260</v>
      </c>
      <c r="F49" t="inlineStr">
        <is>
          <t>VÄSTRA GÖTALANDS LÄN</t>
        </is>
      </c>
      <c r="G49" t="inlineStr">
        <is>
          <t>LERUM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45919</v>
      </c>
      <c r="E50" s="1" t="n">
        <v>46260</v>
      </c>
      <c r="F50" t="inlineStr">
        <is>
          <t>VÄSTRA GÖTALANDS LÄN</t>
        </is>
      </c>
      <c r="G50" t="inlineStr">
        <is>
          <t>LERUM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45396-2025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46260</v>
      </c>
      <c r="F51" t="inlineStr">
        <is>
          <t>VÄSTRA GÖTALANDS LÄN</t>
        </is>
      </c>
      <c r="G51" t="inlineStr">
        <is>
          <t>LERUM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46260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46260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45216</v>
      </c>
      <c r="E54" s="1" t="n">
        <v>46260</v>
      </c>
      <c r="F54" t="inlineStr">
        <is>
          <t>VÄSTRA GÖTALANDS LÄN</t>
        </is>
      </c>
      <c r="G54" t="inlineStr">
        <is>
          <t>LERUM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46260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46260</v>
      </c>
      <c r="F56" t="inlineStr">
        <is>
          <t>VÄSTRA GÖTALANDS LÄN</t>
        </is>
      </c>
      <c r="G56" t="inlineStr">
        <is>
          <t>LERUM</t>
        </is>
      </c>
      <c r="I56" t="n">
        <v>6.6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7989-2024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45350</v>
      </c>
      <c r="E57" s="1" t="n">
        <v>46260</v>
      </c>
      <c r="F57" t="inlineStr">
        <is>
          <t>VÄSTRA GÖTALANDS LÄN</t>
        </is>
      </c>
      <c r="G57" t="inlineStr">
        <is>
          <t>LERUM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45931</v>
      </c>
      <c r="E58" s="1" t="n">
        <v>46260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46260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46260</v>
      </c>
      <c r="F60" t="inlineStr">
        <is>
          <t>VÄSTRA GÖTALANDS LÄN</t>
        </is>
      </c>
      <c r="G60" t="inlineStr">
        <is>
          <t>LERUM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57083-2022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46260</v>
      </c>
      <c r="F61" t="inlineStr">
        <is>
          <t>VÄSTRA GÖTALANDS LÄN</t>
        </is>
      </c>
      <c r="G61" t="inlineStr">
        <is>
          <t>LERUM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46260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36756-2022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44805</v>
      </c>
      <c r="E63" s="1" t="n">
        <v>46260</v>
      </c>
      <c r="F63" t="inlineStr">
        <is>
          <t>VÄSTRA GÖTALANDS LÄN</t>
        </is>
      </c>
      <c r="G63" t="inlineStr">
        <is>
          <t>LERUM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44943</v>
      </c>
      <c r="E64" s="1" t="n">
        <v>46260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46260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46260</v>
      </c>
      <c r="F66" t="inlineStr">
        <is>
          <t>VÄSTRA GÖTALANDS LÄN</t>
        </is>
      </c>
      <c r="G66" t="inlineStr">
        <is>
          <t>LERUM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46260</v>
      </c>
      <c r="F67" t="inlineStr">
        <is>
          <t>VÄSTRA GÖTALANDS LÄN</t>
        </is>
      </c>
      <c r="G67" t="inlineStr">
        <is>
          <t>LERUM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46260</v>
      </c>
      <c r="F68" t="inlineStr">
        <is>
          <t>VÄSTRA GÖTALANDS LÄN</t>
        </is>
      </c>
      <c r="G68" t="inlineStr">
        <is>
          <t>LERUM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46260</v>
      </c>
      <c r="F69" t="inlineStr">
        <is>
          <t>VÄSTRA GÖTALANDS LÄN</t>
        </is>
      </c>
      <c r="G69" t="inlineStr">
        <is>
          <t>LERUM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50405-2023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46260</v>
      </c>
      <c r="F70" t="inlineStr">
        <is>
          <t>VÄSTRA GÖTALANDS LÄN</t>
        </is>
      </c>
      <c r="G70" t="inlineStr">
        <is>
          <t>LERUM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46260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21133-2022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44704</v>
      </c>
      <c r="E72" s="1" t="n">
        <v>46260</v>
      </c>
      <c r="F72" t="inlineStr">
        <is>
          <t>VÄSTRA GÖTALANDS LÄN</t>
        </is>
      </c>
      <c r="G72" t="inlineStr">
        <is>
          <t>LERUM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41836-2022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44828</v>
      </c>
      <c r="E73" s="1" t="n">
        <v>46260</v>
      </c>
      <c r="F73" t="inlineStr">
        <is>
          <t>VÄSTRA GÖTALANDS LÄN</t>
        </is>
      </c>
      <c r="G73" t="inlineStr">
        <is>
          <t>LERUM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46260</v>
      </c>
      <c r="F74" t="inlineStr">
        <is>
          <t>VÄSTRA GÖTALANDS LÄN</t>
        </is>
      </c>
      <c r="G74" t="inlineStr">
        <is>
          <t>LERUM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46260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45975</v>
      </c>
      <c r="E76" s="1" t="n">
        <v>46260</v>
      </c>
      <c r="F76" t="inlineStr">
        <is>
          <t>VÄSTRA GÖTALANDS LÄN</t>
        </is>
      </c>
      <c r="G76" t="inlineStr">
        <is>
          <t>LERUM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44712</v>
      </c>
      <c r="E77" s="1" t="n">
        <v>46260</v>
      </c>
      <c r="F77" t="inlineStr">
        <is>
          <t>VÄSTRA GÖTALANDS LÄN</t>
        </is>
      </c>
      <c r="G77" t="inlineStr">
        <is>
          <t>LERUM</t>
        </is>
      </c>
      <c r="I77" t="n">
        <v>23.3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45982</v>
      </c>
      <c r="E78" s="1" t="n">
        <v>46260</v>
      </c>
      <c r="F78" t="inlineStr">
        <is>
          <t>VÄSTRA GÖTALANDS LÄN</t>
        </is>
      </c>
      <c r="G78" t="inlineStr">
        <is>
          <t>LERUM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46260</v>
      </c>
      <c r="F79" t="inlineStr">
        <is>
          <t>VÄSTRA GÖTALANDS LÄN</t>
        </is>
      </c>
      <c r="G79" t="inlineStr">
        <is>
          <t>LERUM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46260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46260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47944-2024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46260</v>
      </c>
      <c r="F82" t="inlineStr">
        <is>
          <t>VÄSTRA GÖTALANDS LÄN</t>
        </is>
      </c>
      <c r="G82" t="inlineStr">
        <is>
          <t>LERUM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46260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32093-2025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45835</v>
      </c>
      <c r="E84" s="1" t="n">
        <v>46260</v>
      </c>
      <c r="F84" t="inlineStr">
        <is>
          <t>VÄSTRA GÖTALANDS LÄN</t>
        </is>
      </c>
      <c r="G84" t="inlineStr">
        <is>
          <t>LERUM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46260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45723</v>
      </c>
      <c r="E86" s="1" t="n">
        <v>46260</v>
      </c>
      <c r="F86" t="inlineStr">
        <is>
          <t>VÄSTRA GÖTALANDS LÄN</t>
        </is>
      </c>
      <c r="G86" t="inlineStr">
        <is>
          <t>LERUM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32095-2025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45835</v>
      </c>
      <c r="E87" s="1" t="n">
        <v>46260</v>
      </c>
      <c r="F87" t="inlineStr">
        <is>
          <t>VÄSTRA GÖTALANDS LÄN</t>
        </is>
      </c>
      <c r="G87" t="inlineStr">
        <is>
          <t>LERUM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46260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46260</v>
      </c>
      <c r="F89" t="inlineStr">
        <is>
          <t>VÄSTRA GÖTALANDS LÄN</t>
        </is>
      </c>
      <c r="G89" t="inlineStr">
        <is>
          <t>LERUM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46260</v>
      </c>
      <c r="F90" t="inlineStr">
        <is>
          <t>VÄSTRA GÖTALANDS LÄN</t>
        </is>
      </c>
      <c r="G90" t="inlineStr">
        <is>
          <t>LERUM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46260</v>
      </c>
      <c r="F91" t="inlineStr">
        <is>
          <t>VÄSTRA GÖTALANDS LÄN</t>
        </is>
      </c>
      <c r="G91" t="inlineStr">
        <is>
          <t>LERUM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46260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7429-2024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45345</v>
      </c>
      <c r="E93" s="1" t="n">
        <v>46260</v>
      </c>
      <c r="F93" t="inlineStr">
        <is>
          <t>VÄSTRA GÖTALANDS LÄN</t>
        </is>
      </c>
      <c r="G93" t="inlineStr">
        <is>
          <t>LERUM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46260</v>
      </c>
      <c r="F94" t="inlineStr">
        <is>
          <t>VÄSTRA GÖTALANDS LÄN</t>
        </is>
      </c>
      <c r="G94" t="inlineStr">
        <is>
          <t>LERUM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2420-2026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46034</v>
      </c>
      <c r="E95" s="1" t="n">
        <v>46260</v>
      </c>
      <c r="F95" t="inlineStr">
        <is>
          <t>VÄSTRA GÖTALANDS LÄN</t>
        </is>
      </c>
      <c r="G95" t="inlineStr">
        <is>
          <t>LERUM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45412</v>
      </c>
      <c r="E96" s="1" t="n">
        <v>46260</v>
      </c>
      <c r="F96" t="inlineStr">
        <is>
          <t>VÄSTRA GÖTALANDS LÄN</t>
        </is>
      </c>
      <c r="G96" t="inlineStr">
        <is>
          <t>LERUM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46260</v>
      </c>
      <c r="F97" t="inlineStr">
        <is>
          <t>VÄSTRA GÖTALANDS LÄN</t>
        </is>
      </c>
      <c r="G97" t="inlineStr">
        <is>
          <t>LERUM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46260</v>
      </c>
      <c r="F98" t="inlineStr">
        <is>
          <t>VÄSTRA GÖTALANDS LÄN</t>
        </is>
      </c>
      <c r="G98" t="inlineStr">
        <is>
          <t>LERUM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40709-2023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45170</v>
      </c>
      <c r="E99" s="1" t="n">
        <v>46260</v>
      </c>
      <c r="F99" t="inlineStr">
        <is>
          <t>VÄSTRA GÖTALANDS LÄN</t>
        </is>
      </c>
      <c r="G99" t="inlineStr">
        <is>
          <t>LERUM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47866-2024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45588</v>
      </c>
      <c r="E100" s="1" t="n">
        <v>46260</v>
      </c>
      <c r="F100" t="inlineStr">
        <is>
          <t>VÄSTRA GÖTALANDS LÄN</t>
        </is>
      </c>
      <c r="G100" t="inlineStr">
        <is>
          <t>LERUM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24163-2024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45441</v>
      </c>
      <c r="E101" s="1" t="n">
        <v>46260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45392</v>
      </c>
      <c r="E102" s="1" t="n">
        <v>46260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44959</v>
      </c>
      <c r="E103" s="1" t="n">
        <v>46260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46260</v>
      </c>
      <c r="F104" t="inlineStr">
        <is>
          <t>VÄSTRA GÖTALANDS LÄN</t>
        </is>
      </c>
      <c r="G104" t="inlineStr">
        <is>
          <t>LERUM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46260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46206</v>
      </c>
      <c r="E106" s="1" t="n">
        <v>46260</v>
      </c>
      <c r="F106" t="inlineStr">
        <is>
          <t>VÄSTRA GÖTALANDS LÄN</t>
        </is>
      </c>
      <c r="G106" t="inlineStr">
        <is>
          <t>LERUM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28118-2024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46260</v>
      </c>
      <c r="F107" t="inlineStr">
        <is>
          <t>VÄSTRA GÖTALANDS LÄN</t>
        </is>
      </c>
      <c r="G107" t="inlineStr">
        <is>
          <t>LERUM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45476</v>
      </c>
      <c r="E108" s="1" t="n">
        <v>46260</v>
      </c>
      <c r="F108" t="inlineStr">
        <is>
          <t>VÄSTRA GÖTALANDS LÄN</t>
        </is>
      </c>
      <c r="G108" t="inlineStr">
        <is>
          <t>LERUM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46260</v>
      </c>
      <c r="F109" t="inlineStr">
        <is>
          <t>VÄSTRA GÖTALANDS LÄN</t>
        </is>
      </c>
      <c r="G109" t="inlineStr">
        <is>
          <t>LERUM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16648-2023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45028</v>
      </c>
      <c r="E110" s="1" t="n">
        <v>46260</v>
      </c>
      <c r="F110" t="inlineStr">
        <is>
          <t>VÄSTRA GÖTALANDS LÄN</t>
        </is>
      </c>
      <c r="G110" t="inlineStr">
        <is>
          <t>LERUM</t>
        </is>
      </c>
      <c r="H110" t="inlineStr">
        <is>
          <t>Kyrkan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46260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28157-2022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46260</v>
      </c>
      <c r="F112" t="inlineStr">
        <is>
          <t>VÄSTRA GÖTALANDS LÄN</t>
        </is>
      </c>
      <c r="G112" t="inlineStr">
        <is>
          <t>LERUM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21836-2022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44710</v>
      </c>
      <c r="E113" s="1" t="n">
        <v>46260</v>
      </c>
      <c r="F113" t="inlineStr">
        <is>
          <t>VÄSTRA GÖTALANDS LÄN</t>
        </is>
      </c>
      <c r="G113" t="inlineStr">
        <is>
          <t>LERUM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46260</v>
      </c>
      <c r="F114" t="inlineStr">
        <is>
          <t>VÄSTRA GÖTALANDS LÄN</t>
        </is>
      </c>
      <c r="G114" t="inlineStr">
        <is>
          <t>LERUM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46260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46260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2026-08-26T01:54:58Z</dcterms:created>
  <dcterms:modified xmlns:dcterms="http://purl.org/dc/terms/" xmlns:xsi="http://www.w3.org/2001/XMLSchema-instance" xsi:type="dcterms:W3CDTF">2026-08-26T01:54:58Z</dcterms:modified>
</cp:coreProperties>
</file>