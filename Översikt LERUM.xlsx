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46206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46206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46206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46206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46206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Stubbspretmossa
Mattlummer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s="1" t="n">
        <v>45968</v>
      </c>
      <c r="C8" s="1" t="n">
        <v>46206</v>
      </c>
      <c r="D8" t="inlineStr">
        <is>
          <t>VÄSTRA GÖTALANDS LÄN</t>
        </is>
      </c>
      <c r="E8" t="inlineStr">
        <is>
          <t>LERUM</t>
        </is>
      </c>
      <c r="G8" t="n">
        <v>2.1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Västlig hakmossa</t>
        </is>
      </c>
      <c r="S8">
        <f>HYPERLINK("https://klasma.github.io/Logging_1441/artfynd/A 55111-2025 artfynd.xlsx", "A 55111-2025")</f>
        <v/>
      </c>
      <c r="T8">
        <f>HYPERLINK("https://klasma.github.io/Logging_1441/kartor/A 55111-2025 karta.png", "A 55111-2025")</f>
        <v/>
      </c>
      <c r="V8">
        <f>HYPERLINK("https://klasma.github.io/Logging_1441/klagomål/A 55111-2025 FSC-klagomål.docx", "A 55111-2025")</f>
        <v/>
      </c>
      <c r="W8">
        <f>HYPERLINK("https://klasma.github.io/Logging_1441/klagomålsmail/A 55111-2025 FSC-klagomål mail.docx", "A 55111-2025")</f>
        <v/>
      </c>
      <c r="X8">
        <f>HYPERLINK("https://klasma.github.io/Logging_1441/tillsyn/A 55111-2025 tillsynsbegäran.docx", "A 55111-2025")</f>
        <v/>
      </c>
      <c r="Y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46206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46206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46206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10410-2022</t>
        </is>
      </c>
      <c r="B14" s="1" t="n">
        <v>44623</v>
      </c>
      <c r="C14" s="1" t="n">
        <v>46206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10410-2022 artfynd.xlsx", "A 10410-2022")</f>
        <v/>
      </c>
      <c r="T14">
        <f>HYPERLINK("https://klasma.github.io/Logging_1441/kartor/A 10410-2022 karta.png", "A 10410-2022")</f>
        <v/>
      </c>
      <c r="V14">
        <f>HYPERLINK("https://klasma.github.io/Logging_1441/klagomål/A 10410-2022 FSC-klagomål.docx", "A 10410-2022")</f>
        <v/>
      </c>
      <c r="W14">
        <f>HYPERLINK("https://klasma.github.io/Logging_1441/klagomålsmail/A 10410-2022 FSC-klagomål mail.docx", "A 10410-2022")</f>
        <v/>
      </c>
      <c r="X14">
        <f>HYPERLINK("https://klasma.github.io/Logging_1441/tillsyn/A 10410-2022 tillsynsbegäran.docx", "A 10410-2022")</f>
        <v/>
      </c>
      <c r="Y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s="1" t="n">
        <v>44895</v>
      </c>
      <c r="C15" s="1" t="n">
        <v>46206</v>
      </c>
      <c r="D15" t="inlineStr">
        <is>
          <t>VÄSTRA GÖTALANDS LÄN</t>
        </is>
      </c>
      <c r="E15" t="inlineStr">
        <is>
          <t>LERUM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HYPERLINK("https://klasma.github.io/Logging_1441/artfynd/A 57154-2022 artfynd.xlsx", "A 57154-2022")</f>
        <v/>
      </c>
      <c r="T15">
        <f>HYPERLINK("https://klasma.github.io/Logging_1441/kartor/A 57154-2022 karta.png", "A 57154-2022")</f>
        <v/>
      </c>
      <c r="V15">
        <f>HYPERLINK("https://klasma.github.io/Logging_1441/klagomål/A 57154-2022 FSC-klagomål.docx", "A 57154-2022")</f>
        <v/>
      </c>
      <c r="W15">
        <f>HYPERLINK("https://klasma.github.io/Logging_1441/klagomålsmail/A 57154-2022 FSC-klagomål mail.docx", "A 57154-2022")</f>
        <v/>
      </c>
      <c r="X15">
        <f>HYPERLINK("https://klasma.github.io/Logging_1441/tillsyn/A 57154-2022 tillsynsbegäran.docx", "A 57154-2022")</f>
        <v/>
      </c>
      <c r="Y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46206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s="1" t="n">
        <v>44462</v>
      </c>
      <c r="C17" s="1" t="n">
        <v>46206</v>
      </c>
      <c r="D17" t="inlineStr">
        <is>
          <t>VÄSTRA GÖTALANDS LÄN</t>
        </is>
      </c>
      <c r="E17" t="inlineStr">
        <is>
          <t>LERUM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HYPERLINK("https://klasma.github.io/Logging_1441/artfynd/A 51900-2021 artfynd.xlsx", "A 51900-2021")</f>
        <v/>
      </c>
      <c r="T17">
        <f>HYPERLINK("https://klasma.github.io/Logging_1441/kartor/A 51900-2021 karta.png", "A 51900-2021")</f>
        <v/>
      </c>
      <c r="V17">
        <f>HYPERLINK("https://klasma.github.io/Logging_1441/klagomål/A 51900-2021 FSC-klagomål.docx", "A 51900-2021")</f>
        <v/>
      </c>
      <c r="W17">
        <f>HYPERLINK("https://klasma.github.io/Logging_1441/klagomålsmail/A 51900-2021 FSC-klagomål mail.docx", "A 51900-2021")</f>
        <v/>
      </c>
      <c r="X17">
        <f>HYPERLINK("https://klasma.github.io/Logging_1441/tillsyn/A 51900-2021 tillsynsbegäran.docx", "A 51900-2021")</f>
        <v/>
      </c>
      <c r="Y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s="1" t="n">
        <v>45057</v>
      </c>
      <c r="C18" s="1" t="n">
        <v>46206</v>
      </c>
      <c r="D18" t="inlineStr">
        <is>
          <t>VÄSTRA GÖTALANDS LÄN</t>
        </is>
      </c>
      <c r="E18" t="inlineStr">
        <is>
          <t>LERUM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HYPERLINK("https://klasma.github.io/Logging_1441/artfynd/A 20570-2023 artfynd.xlsx", "A 20570-2023")</f>
        <v/>
      </c>
      <c r="T18">
        <f>HYPERLINK("https://klasma.github.io/Logging_1441/kartor/A 20570-2023 karta.png", "A 20570-2023")</f>
        <v/>
      </c>
      <c r="V18">
        <f>HYPERLINK("https://klasma.github.io/Logging_1441/klagomål/A 20570-2023 FSC-klagomål.docx", "A 20570-2023")</f>
        <v/>
      </c>
      <c r="W18">
        <f>HYPERLINK("https://klasma.github.io/Logging_1441/klagomålsmail/A 20570-2023 FSC-klagomål mail.docx", "A 20570-2023")</f>
        <v/>
      </c>
      <c r="X18">
        <f>HYPERLINK("https://klasma.github.io/Logging_1441/tillsyn/A 20570-2023 tillsynsbegäran.docx", "A 20570-2023")</f>
        <v/>
      </c>
      <c r="Y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s="1" t="n">
        <v>45092</v>
      </c>
      <c r="C19" s="1" t="n">
        <v>46206</v>
      </c>
      <c r="D19" t="inlineStr">
        <is>
          <t>VÄSTRA GÖTALANDS LÄN</t>
        </is>
      </c>
      <c r="E19" t="inlineStr">
        <is>
          <t>LERUM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jordtunga</t>
        </is>
      </c>
      <c r="S19">
        <f>HYPERLINK("https://klasma.github.io/Logging_1441/artfynd/A 26568-2023 artfynd.xlsx", "A 26568-2023")</f>
        <v/>
      </c>
      <c r="T19">
        <f>HYPERLINK("https://klasma.github.io/Logging_1441/kartor/A 26568-2023 karta.png", "A 26568-2023")</f>
        <v/>
      </c>
      <c r="V19">
        <f>HYPERLINK("https://klasma.github.io/Logging_1441/klagomål/A 26568-2023 FSC-klagomål.docx", "A 26568-2023")</f>
        <v/>
      </c>
      <c r="W19">
        <f>HYPERLINK("https://klasma.github.io/Logging_1441/klagomålsmail/A 26568-2023 FSC-klagomål mail.docx", "A 26568-2023")</f>
        <v/>
      </c>
      <c r="X19">
        <f>HYPERLINK("https://klasma.github.io/Logging_1441/tillsyn/A 26568-2023 tillsynsbegäran.docx", "A 26568-2023")</f>
        <v/>
      </c>
      <c r="Y19">
        <f>HYPERLINK("https://klasma.github.io/Logging_1441/tillsynsmail/A 26568-2023 tillsynsbegäran mail.docx", "A 26568-2023")</f>
        <v/>
      </c>
    </row>
    <row r="20" ht="15" customHeight="1">
      <c r="A20" t="inlineStr">
        <is>
          <t>A 62755-2025</t>
        </is>
      </c>
      <c r="B20" s="1" t="n">
        <v>46008</v>
      </c>
      <c r="C20" s="1" t="n">
        <v>46206</v>
      </c>
      <c r="D20" t="inlineStr">
        <is>
          <t>VÄSTRA GÖTALANDS LÄN</t>
        </is>
      </c>
      <c r="E20" t="inlineStr">
        <is>
          <t>LERUM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HYPERLINK("https://klasma.github.io/Logging_1441/artfynd/A 62755-2025 artfynd.xlsx", "A 62755-2025")</f>
        <v/>
      </c>
      <c r="T20">
        <f>HYPERLINK("https://klasma.github.io/Logging_1441/kartor/A 62755-2025 karta.png", "A 62755-2025")</f>
        <v/>
      </c>
      <c r="V20">
        <f>HYPERLINK("https://klasma.github.io/Logging_1441/klagomål/A 62755-2025 FSC-klagomål.docx", "A 62755-2025")</f>
        <v/>
      </c>
      <c r="W20">
        <f>HYPERLINK("https://klasma.github.io/Logging_1441/klagomålsmail/A 62755-2025 FSC-klagomål mail.docx", "A 62755-2025")</f>
        <v/>
      </c>
      <c r="X20">
        <f>HYPERLINK("https://klasma.github.io/Logging_1441/tillsyn/A 62755-2025 tillsynsbegäran.docx", "A 62755-2025")</f>
        <v/>
      </c>
      <c r="Y20">
        <f>HYPERLINK("https://klasma.github.io/Logging_1441/tillsynsmail/A 62755-2025 tillsynsbegäran mail.docx", "A 62755-2025")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46206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46206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46206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46206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46206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46206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46206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46206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46206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46206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46206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46206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46206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46206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</v>
      </c>
      <c r="C36" s="1" t="n">
        <v>46206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13156-2024</t>
        </is>
      </c>
      <c r="B37" s="1" t="n">
        <v>45386</v>
      </c>
      <c r="C37" s="1" t="n">
        <v>46206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38743-2025</t>
        </is>
      </c>
      <c r="B38" s="1" t="n">
        <v>45887</v>
      </c>
      <c r="C38" s="1" t="n">
        <v>46206</v>
      </c>
      <c r="D38" t="inlineStr">
        <is>
          <t>VÄSTRA GÖTALANDS LÄN</t>
        </is>
      </c>
      <c r="E38" t="inlineStr">
        <is>
          <t>LERUM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38739-2025</t>
        </is>
      </c>
      <c r="B39" s="1" t="n">
        <v>45887</v>
      </c>
      <c r="C39" s="1" t="n">
        <v>46206</v>
      </c>
      <c r="D39" t="inlineStr">
        <is>
          <t>VÄSTRA GÖTALANDS LÄN</t>
        </is>
      </c>
      <c r="E39" t="inlineStr">
        <is>
          <t>LERUM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35199-2023</t>
        </is>
      </c>
      <c r="B40" s="1" t="n">
        <v>45145</v>
      </c>
      <c r="C40" s="1" t="n">
        <v>46206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2420-2026</t>
        </is>
      </c>
      <c r="B41" s="1" t="n">
        <v>46034</v>
      </c>
      <c r="C41" s="1" t="n">
        <v>46206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26073-2025</t>
        </is>
      </c>
      <c r="B42" s="1" t="n">
        <v>45805</v>
      </c>
      <c r="C42" s="1" t="n">
        <v>46206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2335-2026</t>
        </is>
      </c>
      <c r="B43" s="1" t="n">
        <v>46036</v>
      </c>
      <c r="C43" s="1" t="n">
        <v>46206</v>
      </c>
      <c r="D43" t="inlineStr">
        <is>
          <t>VÄSTRA GÖTALANDS LÄN</t>
        </is>
      </c>
      <c r="E43" t="inlineStr">
        <is>
          <t>LERUM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27367-2025</t>
        </is>
      </c>
      <c r="B44" s="1" t="n">
        <v>45812</v>
      </c>
      <c r="C44" s="1" t="n">
        <v>46206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46206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20210-2023</t>
        </is>
      </c>
      <c r="B46" s="1" t="n">
        <v>45055</v>
      </c>
      <c r="C46" s="1" t="n">
        <v>46206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46206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32093-2025</t>
        </is>
      </c>
      <c r="B48" s="1" t="n">
        <v>45835</v>
      </c>
      <c r="C48" s="1" t="n">
        <v>46206</v>
      </c>
      <c r="D48" t="inlineStr">
        <is>
          <t>VÄSTRA GÖTALANDS LÄN</t>
        </is>
      </c>
      <c r="E48" t="inlineStr">
        <is>
          <t>LERUM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11232-2025</t>
        </is>
      </c>
      <c r="B49" s="1" t="n">
        <v>45726</v>
      </c>
      <c r="C49" s="1" t="n">
        <v>46206</v>
      </c>
      <c r="D49" t="inlineStr">
        <is>
          <t>VÄSTRA GÖTALANDS LÄN</t>
        </is>
      </c>
      <c r="E49" t="inlineStr">
        <is>
          <t>LERUM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23592-2022</t>
        </is>
      </c>
      <c r="B50" s="1" t="n">
        <v>44721</v>
      </c>
      <c r="C50" s="1" t="n">
        <v>46206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32095-2025</t>
        </is>
      </c>
      <c r="B51" s="1" t="n">
        <v>45835</v>
      </c>
      <c r="C51" s="1" t="n">
        <v>46206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7558-2026</t>
        </is>
      </c>
      <c r="B52" s="1" t="n">
        <v>46059</v>
      </c>
      <c r="C52" s="1" t="n">
        <v>46206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37441-2022</t>
        </is>
      </c>
      <c r="B53" s="1" t="n">
        <v>44809</v>
      </c>
      <c r="C53" s="1" t="n">
        <v>46206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50397-2023</t>
        </is>
      </c>
      <c r="B54" s="1" t="n">
        <v>45216</v>
      </c>
      <c r="C54" s="1" t="n">
        <v>46206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28103-2022</t>
        </is>
      </c>
      <c r="B55" s="1" t="n">
        <v>44746</v>
      </c>
      <c r="C55" s="1" t="n">
        <v>46206</v>
      </c>
      <c r="D55" t="inlineStr">
        <is>
          <t>VÄSTRA GÖTALANDS LÄN</t>
        </is>
      </c>
      <c r="E55" t="inlineStr">
        <is>
          <t>LERUM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47866-2024</t>
        </is>
      </c>
      <c r="B56" s="1" t="n">
        <v>45588</v>
      </c>
      <c r="C56" s="1" t="n">
        <v>46206</v>
      </c>
      <c r="D56" t="inlineStr">
        <is>
          <t>VÄSTRA GÖTALANDS LÄN</t>
        </is>
      </c>
      <c r="E56" t="inlineStr">
        <is>
          <t>LERUM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7989-2024</t>
        </is>
      </c>
      <c r="B57" s="1" t="n">
        <v>45350</v>
      </c>
      <c r="C57" s="1" t="n">
        <v>46206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45132-2025</t>
        </is>
      </c>
      <c r="B58" s="1" t="n">
        <v>45919</v>
      </c>
      <c r="C58" s="1" t="n">
        <v>46206</v>
      </c>
      <c r="D58" t="inlineStr">
        <is>
          <t>VÄSTRA GÖTALANDS LÄN</t>
        </is>
      </c>
      <c r="E58" t="inlineStr">
        <is>
          <t>LERUM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</v>
      </c>
      <c r="C59" s="1" t="n">
        <v>46206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</v>
      </c>
      <c r="C60" s="1" t="n">
        <v>46206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</v>
      </c>
      <c r="C61" s="1" t="n">
        <v>46206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50405-2023</t>
        </is>
      </c>
      <c r="B62" s="1" t="n">
        <v>45216</v>
      </c>
      <c r="C62" s="1" t="n">
        <v>46206</v>
      </c>
      <c r="D62" t="inlineStr">
        <is>
          <t>VÄSTRA GÖTALANDS LÄN</t>
        </is>
      </c>
      <c r="E62" t="inlineStr">
        <is>
          <t>LERUM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50410-2023</t>
        </is>
      </c>
      <c r="B63" s="1" t="n">
        <v>45216</v>
      </c>
      <c r="C63" s="1" t="n">
        <v>46206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41836-2022</t>
        </is>
      </c>
      <c r="B64" s="1" t="n">
        <v>44828</v>
      </c>
      <c r="C64" s="1" t="n">
        <v>46206</v>
      </c>
      <c r="D64" t="inlineStr">
        <is>
          <t>VÄSTRA GÖTALANDS LÄN</t>
        </is>
      </c>
      <c r="E64" t="inlineStr">
        <is>
          <t>LERUM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</v>
      </c>
      <c r="C65" s="1" t="n">
        <v>46206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46206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21133-2022</t>
        </is>
      </c>
      <c r="B67" s="1" t="n">
        <v>44704</v>
      </c>
      <c r="C67" s="1" t="n">
        <v>46206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</v>
      </c>
      <c r="C68" s="1" t="n">
        <v>46206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46206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57186-2022</t>
        </is>
      </c>
      <c r="B70" s="1" t="n">
        <v>44895</v>
      </c>
      <c r="C70" s="1" t="n">
        <v>46206</v>
      </c>
      <c r="D70" t="inlineStr">
        <is>
          <t>VÄSTRA GÖTALANDS LÄN</t>
        </is>
      </c>
      <c r="E70" t="inlineStr">
        <is>
          <t>LERUM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57083-2022</t>
        </is>
      </c>
      <c r="B71" s="1" t="n">
        <v>44895</v>
      </c>
      <c r="C71" s="1" t="n">
        <v>46206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57120-2022</t>
        </is>
      </c>
      <c r="B72" s="1" t="n">
        <v>44895</v>
      </c>
      <c r="C72" s="1" t="n">
        <v>46206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46206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2450-2023</t>
        </is>
      </c>
      <c r="B74" s="1" t="n">
        <v>44943</v>
      </c>
      <c r="C74" s="1" t="n">
        <v>46206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46206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</v>
      </c>
      <c r="C76" s="1" t="n">
        <v>46206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46206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46206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</v>
      </c>
      <c r="C79" s="1" t="n">
        <v>46206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19238-2026</t>
        </is>
      </c>
      <c r="B80" s="1" t="n">
        <v>46132</v>
      </c>
      <c r="C80" s="1" t="n">
        <v>46206</v>
      </c>
      <c r="D80" t="inlineStr">
        <is>
          <t>VÄSTRA GÖTALANDS LÄN</t>
        </is>
      </c>
      <c r="E80" t="inlineStr">
        <is>
          <t>LERUM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22300-2022</t>
        </is>
      </c>
      <c r="B81" s="1" t="n">
        <v>44712</v>
      </c>
      <c r="C81" s="1" t="n">
        <v>46206</v>
      </c>
      <c r="D81" t="inlineStr">
        <is>
          <t>VÄSTRA GÖTALANDS LÄN</t>
        </is>
      </c>
      <c r="E81" t="inlineStr">
        <is>
          <t>LERUM</t>
        </is>
      </c>
      <c r="G81" t="n">
        <v>23.3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47398-2024</t>
        </is>
      </c>
      <c r="B82" s="1" t="n">
        <v>45587</v>
      </c>
      <c r="C82" s="1" t="n">
        <v>46206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44780-2025</t>
        </is>
      </c>
      <c r="B83" s="1" t="n">
        <v>45917</v>
      </c>
      <c r="C83" s="1" t="n">
        <v>46206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28029-2025</t>
        </is>
      </c>
      <c r="B84" s="1" t="n">
        <v>45817</v>
      </c>
      <c r="C84" s="1" t="n">
        <v>46206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31687-2025</t>
        </is>
      </c>
      <c r="B85" s="1" t="n">
        <v>45834</v>
      </c>
      <c r="C85" s="1" t="n">
        <v>46206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47944-2024</t>
        </is>
      </c>
      <c r="B86" s="1" t="n">
        <v>45589</v>
      </c>
      <c r="C86" s="1" t="n">
        <v>46206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7429-2024</t>
        </is>
      </c>
      <c r="B87" s="1" t="n">
        <v>45345</v>
      </c>
      <c r="C87" s="1" t="n">
        <v>46206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11124-2025</t>
        </is>
      </c>
      <c r="B88" s="1" t="n">
        <v>45723</v>
      </c>
      <c r="C88" s="1" t="n">
        <v>46206</v>
      </c>
      <c r="D88" t="inlineStr">
        <is>
          <t>VÄSTRA GÖTALANDS LÄN</t>
        </is>
      </c>
      <c r="E88" t="inlineStr">
        <is>
          <t>LERUM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17071-2024</t>
        </is>
      </c>
      <c r="B89" s="1" t="n">
        <v>45412</v>
      </c>
      <c r="C89" s="1" t="n">
        <v>46206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</v>
      </c>
      <c r="C90" s="1" t="n">
        <v>46206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</v>
      </c>
      <c r="C91" s="1" t="n">
        <v>46206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46206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50420-2023</t>
        </is>
      </c>
      <c r="B93" s="1" t="n">
        <v>45216</v>
      </c>
      <c r="C93" s="1" t="n">
        <v>46206</v>
      </c>
      <c r="D93" t="inlineStr">
        <is>
          <t>VÄSTRA GÖTALANDS LÄN</t>
        </is>
      </c>
      <c r="E93" t="inlineStr">
        <is>
          <t>LERUM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40709-2023</t>
        </is>
      </c>
      <c r="B94" s="1" t="n">
        <v>45170</v>
      </c>
      <c r="C94" s="1" t="n">
        <v>46206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</v>
      </c>
      <c r="C95" s="1" t="n">
        <v>46206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24163-2024</t>
        </is>
      </c>
      <c r="B96" s="1" t="n">
        <v>45441</v>
      </c>
      <c r="C96" s="1" t="n">
        <v>46206</v>
      </c>
      <c r="D96" t="inlineStr">
        <is>
          <t>VÄSTRA GÖTALANDS LÄN</t>
        </is>
      </c>
      <c r="E96" t="inlineStr">
        <is>
          <t>LERUM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28053-2025</t>
        </is>
      </c>
      <c r="B97" s="1" t="n">
        <v>45817</v>
      </c>
      <c r="C97" s="1" t="n">
        <v>46206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14067-2024</t>
        </is>
      </c>
      <c r="B98" s="1" t="n">
        <v>45392</v>
      </c>
      <c r="C98" s="1" t="n">
        <v>46206</v>
      </c>
      <c r="D98" t="inlineStr">
        <is>
          <t>VÄSTRA GÖTALANDS LÄN</t>
        </is>
      </c>
      <c r="E98" t="inlineStr">
        <is>
          <t>LERUM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5359-2023</t>
        </is>
      </c>
      <c r="B99" s="1" t="n">
        <v>44959</v>
      </c>
      <c r="C99" s="1" t="n">
        <v>46206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61762-2025</t>
        </is>
      </c>
      <c r="B100" s="1" t="n">
        <v>46002</v>
      </c>
      <c r="C100" s="1" t="n">
        <v>46206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61766-2025</t>
        </is>
      </c>
      <c r="B101" s="1" t="n">
        <v>46002</v>
      </c>
      <c r="C101" s="1" t="n">
        <v>46206</v>
      </c>
      <c r="D101" t="inlineStr">
        <is>
          <t>VÄSTRA GÖTALANDS LÄN</t>
        </is>
      </c>
      <c r="E101" t="inlineStr">
        <is>
          <t>LERUM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61628-2025</t>
        </is>
      </c>
      <c r="B102" s="1" t="n">
        <v>46002</v>
      </c>
      <c r="C102" s="1" t="n">
        <v>46206</v>
      </c>
      <c r="D102" t="inlineStr">
        <is>
          <t>VÄSTRA GÖTALANDS LÄN</t>
        </is>
      </c>
      <c r="E102" t="inlineStr">
        <is>
          <t>LERUM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36415-2023</t>
        </is>
      </c>
      <c r="B103" s="1" t="n">
        <v>45152</v>
      </c>
      <c r="C103" s="1" t="n">
        <v>46206</v>
      </c>
      <c r="D103" t="inlineStr">
        <is>
          <t>VÄSTRA GÖTALANDS LÄN</t>
        </is>
      </c>
      <c r="E103" t="inlineStr">
        <is>
          <t>LERUM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62769-2025</t>
        </is>
      </c>
      <c r="B104" s="1" t="n">
        <v>46008</v>
      </c>
      <c r="C104" s="1" t="n">
        <v>46206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</v>
      </c>
      <c r="C105" s="1" t="n">
        <v>46206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62757-2025</t>
        </is>
      </c>
      <c r="B106" s="1" t="n">
        <v>46008</v>
      </c>
      <c r="C106" s="1" t="n">
        <v>46206</v>
      </c>
      <c r="D106" t="inlineStr">
        <is>
          <t>VÄSTRA GÖTALANDS LÄN</t>
        </is>
      </c>
      <c r="E106" t="inlineStr">
        <is>
          <t>LERUM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4883-2024</t>
        </is>
      </c>
      <c r="B107" s="1" t="n">
        <v>45329</v>
      </c>
      <c r="C107" s="1" t="n">
        <v>46206</v>
      </c>
      <c r="D107" t="inlineStr">
        <is>
          <t>VÄSTRA GÖTALANDS LÄN</t>
        </is>
      </c>
      <c r="E107" t="inlineStr">
        <is>
          <t>LERUM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</v>
      </c>
      <c r="C108" s="1" t="n">
        <v>46206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28118-2024</t>
        </is>
      </c>
      <c r="B109" s="1" t="n">
        <v>45476</v>
      </c>
      <c r="C109" s="1" t="n">
        <v>46206</v>
      </c>
      <c r="D109" t="inlineStr">
        <is>
          <t>VÄSTRA GÖTALANDS LÄN</t>
        </is>
      </c>
      <c r="E109" t="inlineStr">
        <is>
          <t>LERUM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28139-2024</t>
        </is>
      </c>
      <c r="B110" s="1" t="n">
        <v>45476</v>
      </c>
      <c r="C110" s="1" t="n">
        <v>46206</v>
      </c>
      <c r="D110" t="inlineStr">
        <is>
          <t>VÄSTRA GÖTALANDS LÄN</t>
        </is>
      </c>
      <c r="E110" t="inlineStr">
        <is>
          <t>LERUM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7990-2024</t>
        </is>
      </c>
      <c r="B111" s="1" t="n">
        <v>45350</v>
      </c>
      <c r="C111" s="1" t="n">
        <v>46206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16648-2023</t>
        </is>
      </c>
      <c r="B112" s="1" t="n">
        <v>45028</v>
      </c>
      <c r="C112" s="1" t="n">
        <v>46206</v>
      </c>
      <c r="D112" t="inlineStr">
        <is>
          <t>VÄSTRA GÖTALANDS LÄN</t>
        </is>
      </c>
      <c r="E112" t="inlineStr">
        <is>
          <t>LERUM</t>
        </is>
      </c>
      <c r="F112" t="inlineStr">
        <is>
          <t>Kyrkan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790-2024</t>
        </is>
      </c>
      <c r="B113" s="1" t="n">
        <v>45300</v>
      </c>
      <c r="C113" s="1" t="n">
        <v>46206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28157-2022</t>
        </is>
      </c>
      <c r="B114" s="1" t="n">
        <v>44746</v>
      </c>
      <c r="C114" s="1" t="n">
        <v>46206</v>
      </c>
      <c r="D114" t="inlineStr">
        <is>
          <t>VÄSTRA GÖTALANDS LÄN</t>
        </is>
      </c>
      <c r="E114" t="inlineStr">
        <is>
          <t>LERUM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21836-2022</t>
        </is>
      </c>
      <c r="B115" s="1" t="n">
        <v>44710</v>
      </c>
      <c r="C115" s="1" t="n">
        <v>46206</v>
      </c>
      <c r="D115" t="inlineStr">
        <is>
          <t>VÄSTRA GÖTALANDS LÄN</t>
        </is>
      </c>
      <c r="E115" t="inlineStr">
        <is>
          <t>LERUM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2026-07-03T01:00:51Z</dcterms:created>
  <dcterms:modified xmlns:dcterms="http://purl.org/dc/terms/" xmlns:xsi="http://www.w3.org/2001/XMLSchema-instance" xsi:type="dcterms:W3CDTF">2026-07-03T01:00:51Z</dcterms:modified>
</cp:coreProperties>
</file>