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46318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46318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46318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46318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46318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3543-2024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45320</v>
      </c>
      <c r="E7" s="1" t="n">
        <v>46318</v>
      </c>
      <c r="F7" t="inlineStr">
        <is>
          <t>VÄSTRA GÖTALANDS LÄN</t>
        </is>
      </c>
      <c r="G7" t="inlineStr">
        <is>
          <t>LERUM</t>
        </is>
      </c>
      <c r="I7" t="n">
        <v>3.9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Grönhjon
Dolkstekelsglasvinge
Spillkråka
Huggorm</t>
        </is>
      </c>
      <c r="W7">
        <f>HYPERLINK("https://klasma.github.io/Logging_1441/artfynd/A 3543-2024 artfynd.xlsx", "A 3543-2024")</f>
        <v/>
      </c>
      <c r="X7">
        <f>HYPERLINK("https://klasma.github.io/Logging_1441/kartor/A 3543-2024 karta.png", "A 3543-2024")</f>
        <v/>
      </c>
      <c r="Y7">
        <f>HYPERLINK("https://klasma.github.io/Logging_1441/kartor_geotiff/A 3543-2024 georefererad karta.tif", "A 3543-2024")</f>
        <v/>
      </c>
      <c r="AA7">
        <f>HYPERLINK("https://klasma.github.io/Logging_1441/klagomål/A 3543-2024 FSC-klagomål.docx", "A 3543-2024")</f>
        <v/>
      </c>
      <c r="AB7">
        <f>HYPERLINK("https://klasma.github.io/Logging_1441/klagomålsmail/A 3543-2024 FSC-klagomål mail.docx", "A 3543-2024")</f>
        <v/>
      </c>
      <c r="AC7">
        <f>HYPERLINK("https://klasma.github.io/Logging_1441/tillsyn/A 3543-2024 tillsynsbegäran.docx", "A 3543-2024")</f>
        <v/>
      </c>
      <c r="AD7">
        <f>HYPERLINK("https://klasma.github.io/Logging_1441/tillsynsmail/A 3543-2024 tillsynsbegäran mail.docx", "A 3543-2024")</f>
        <v/>
      </c>
      <c r="AE7">
        <f>HYPERLINK("https://klasma.github.io/Logging_1441/fåglar/A 3543-2024 prioriterade fågelarter.docx", "A 3543-2024")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46318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46318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46318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46318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A 58073-2025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46318</v>
      </c>
      <c r="F12" t="inlineStr">
        <is>
          <t>VÄSTRA GÖTALANDS LÄN</t>
        </is>
      </c>
      <c r="G12" t="inlineStr">
        <is>
          <t>LERUM</t>
        </is>
      </c>
      <c r="I12" t="n">
        <v>1.6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Igelkott
Kambräken</t>
        </is>
      </c>
      <c r="W12">
        <f>HYPERLINK("https://klasma.github.io/Logging_1441/artfynd/A 58073-2025 artfynd.xlsx", "A 58073-2025")</f>
        <v/>
      </c>
      <c r="X12">
        <f>HYPERLINK("https://klasma.github.io/Logging_1441/kartor/A 58073-2025 karta.png", "A 58073-2025")</f>
        <v/>
      </c>
      <c r="Y12">
        <f>HYPERLINK("https://klasma.github.io/Logging_1441/kartor_geotiff/A 58073-2025 georefererad karta.tif", "A 58073-2025")</f>
        <v/>
      </c>
      <c r="AA12">
        <f>HYPERLINK("https://klasma.github.io/Logging_1441/klagomål/A 58073-2025 FSC-klagomål.docx", "A 58073-2025")</f>
        <v/>
      </c>
      <c r="AB12">
        <f>HYPERLINK("https://klasma.github.io/Logging_1441/klagomålsmail/A 58073-2025 FSC-klagomål mail.docx", "A 58073-2025")</f>
        <v/>
      </c>
      <c r="AC12">
        <f>HYPERLINK("https://klasma.github.io/Logging_1441/tillsyn/A 58073-2025 tillsynsbegäran.docx", "A 58073-2025")</f>
        <v/>
      </c>
      <c r="AD12">
        <f>HYPERLINK("https://klasma.github.io/Logging_1441/tillsynsmail/A 58073-2025 tillsynsbegäran mail.docx", "A 58073-2025")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46318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46318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46318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46318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46318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64855-2023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46318</v>
      </c>
      <c r="F18" t="inlineStr">
        <is>
          <t>VÄSTRA GÖTALANDS LÄN</t>
        </is>
      </c>
      <c r="G18" t="inlineStr">
        <is>
          <t>LERUM</t>
        </is>
      </c>
      <c r="I18" t="n">
        <v>3.7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HYPERLINK("https://klasma.github.io/Logging_1441/artfynd/A 64855-2023 artfynd.xlsx", "A 64855-2023")</f>
        <v/>
      </c>
      <c r="X18">
        <f>HYPERLINK("https://klasma.github.io/Logging_1441/kartor/A 64855-2023 karta.png", "A 64855-2023")</f>
        <v/>
      </c>
      <c r="Y18">
        <f>HYPERLINK("https://klasma.github.io/Logging_1441/kartor_geotiff/A 64855-2023 georefererad karta.tif", "A 64855-2023")</f>
        <v/>
      </c>
      <c r="AA18">
        <f>HYPERLINK("https://klasma.github.io/Logging_1441/klagomål/A 64855-2023 FSC-klagomål.docx", "A 64855-2023")</f>
        <v/>
      </c>
      <c r="AB18">
        <f>HYPERLINK("https://klasma.github.io/Logging_1441/klagomålsmail/A 64855-2023 FSC-klagomål mail.docx", "A 64855-2023")</f>
        <v/>
      </c>
      <c r="AC18">
        <f>HYPERLINK("https://klasma.github.io/Logging_1441/tillsyn/A 64855-2023 tillsynsbegäran.docx", "A 64855-2023")</f>
        <v/>
      </c>
      <c r="AD18">
        <f>HYPERLINK("https://klasma.github.io/Logging_1441/tillsynsmail/A 64855-2023 tillsynsbegäran mail.docx", "A 64855-2023")</f>
        <v/>
      </c>
      <c r="AE18">
        <f>HYPERLINK("https://klasma.github.io/Logging_1441/fåglar/A 64855-2023 prioriterade fågelarter.docx", "A 64855-2023")</f>
        <v/>
      </c>
    </row>
    <row r="19" ht="15" customHeight="1">
      <c r="A19" t="inlineStr">
        <is>
          <t>A 20570-2023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45057</v>
      </c>
      <c r="E19" s="1" t="n">
        <v>46318</v>
      </c>
      <c r="F19" t="inlineStr">
        <is>
          <t>VÄSTRA GÖTALANDS LÄN</t>
        </is>
      </c>
      <c r="G19" t="inlineStr">
        <is>
          <t>LERUM</t>
        </is>
      </c>
      <c r="I19" t="n">
        <v>5.6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Vedticka</t>
        </is>
      </c>
      <c r="W19">
        <f>HYPERLINK("https://klasma.github.io/Logging_1441/artfynd/A 20570-2023 artfynd.xlsx", "A 20570-2023")</f>
        <v/>
      </c>
      <c r="X19">
        <f>HYPERLINK("https://klasma.github.io/Logging_1441/kartor/A 20570-2023 karta.png", "A 20570-2023")</f>
        <v/>
      </c>
      <c r="Y19">
        <f>HYPERLINK("https://klasma.github.io/Logging_1441/kartor_geotiff/A 20570-2023 georefererad karta.tif", "A 20570-2023")</f>
        <v/>
      </c>
      <c r="AA19">
        <f>HYPERLINK("https://klasma.github.io/Logging_1441/klagomål/A 20570-2023 FSC-klagomål.docx", "A 20570-2023")</f>
        <v/>
      </c>
      <c r="AB19">
        <f>HYPERLINK("https://klasma.github.io/Logging_1441/klagomålsmail/A 20570-2023 FSC-klagomål mail.docx", "A 20570-2023")</f>
        <v/>
      </c>
      <c r="AC19">
        <f>HYPERLINK("https://klasma.github.io/Logging_1441/tillsyn/A 20570-2023 tillsynsbegäran.docx", "A 20570-2023")</f>
        <v/>
      </c>
      <c r="AD19">
        <f>HYPERLINK("https://klasma.github.io/Logging_1441/tillsynsmail/A 20570-2023 tillsynsbegäran mail.docx", "A 20570-2023")</f>
        <v/>
      </c>
    </row>
    <row r="20" ht="15" customHeight="1">
      <c r="A20" t="inlineStr">
        <is>
          <t>A 26568-2023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45092</v>
      </c>
      <c r="E20" s="1" t="n">
        <v>46318</v>
      </c>
      <c r="F20" t="inlineStr">
        <is>
          <t>VÄSTRA GÖTALANDS LÄN</t>
        </is>
      </c>
      <c r="G20" t="inlineStr">
        <is>
          <t>LERUM</t>
        </is>
      </c>
      <c r="I20" t="n">
        <v>2.7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Svart jordtunga</t>
        </is>
      </c>
      <c r="W20">
        <f>HYPERLINK("https://klasma.github.io/Logging_1441/artfynd/A 26568-2023 artfynd.xlsx", "A 26568-2023")</f>
        <v/>
      </c>
      <c r="X20">
        <f>HYPERLINK("https://klasma.github.io/Logging_1441/kartor/A 26568-2023 karta.png", "A 26568-2023")</f>
        <v/>
      </c>
      <c r="Y20">
        <f>HYPERLINK("https://klasma.github.io/Logging_1441/kartor_geotiff/A 26568-2023 georefererad karta.tif", "A 26568-2023")</f>
        <v/>
      </c>
      <c r="AA20">
        <f>HYPERLINK("https://klasma.github.io/Logging_1441/klagomål/A 26568-2023 FSC-klagomål.docx", "A 26568-2023")</f>
        <v/>
      </c>
      <c r="AB20">
        <f>HYPERLINK("https://klasma.github.io/Logging_1441/klagomålsmail/A 26568-2023 FSC-klagomål mail.docx", "A 26568-2023")</f>
        <v/>
      </c>
      <c r="AC20">
        <f>HYPERLINK("https://klasma.github.io/Logging_1441/tillsyn/A 26568-2023 tillsynsbegäran.docx", "A 26568-2023")</f>
        <v/>
      </c>
      <c r="AD20">
        <f>HYPERLINK("https://klasma.github.io/Logging_1441/tillsynsmail/A 26568-2023 tillsynsbegäran mail.docx", "A 26568-2023")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46318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46318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46318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46318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46318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46318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46318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46318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46318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69614-2021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46318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69628-2021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46318</v>
      </c>
      <c r="F31" t="inlineStr">
        <is>
          <t>VÄSTRA GÖTALANDS LÄN</t>
        </is>
      </c>
      <c r="G31" t="inlineStr">
        <is>
          <t>LERUM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29101-2022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46318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46318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26073-2025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45805</v>
      </c>
      <c r="E34" s="1" t="n">
        <v>46318</v>
      </c>
      <c r="F34" t="inlineStr">
        <is>
          <t>VÄSTRA GÖTALANDS LÄN</t>
        </is>
      </c>
      <c r="G34" t="inlineStr">
        <is>
          <t>LERUM</t>
        </is>
      </c>
      <c r="I34" t="n">
        <v>4.7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24163-2024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45441</v>
      </c>
      <c r="E35" s="1" t="n">
        <v>46318</v>
      </c>
      <c r="F35" t="inlineStr">
        <is>
          <t>VÄSTRA GÖTALANDS LÄN</t>
        </is>
      </c>
      <c r="G35" t="inlineStr">
        <is>
          <t>LERUM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27367-2025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45812</v>
      </c>
      <c r="E36" s="1" t="n">
        <v>46318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45392</v>
      </c>
      <c r="E37" s="1" t="n">
        <v>46318</v>
      </c>
      <c r="F37" t="inlineStr">
        <is>
          <t>VÄSTRA GÖTALANDS LÄN</t>
        </is>
      </c>
      <c r="G37" t="inlineStr">
        <is>
          <t>LERUM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39113-2024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45548</v>
      </c>
      <c r="E38" s="1" t="n">
        <v>46318</v>
      </c>
      <c r="F38" t="inlineStr">
        <is>
          <t>VÄSTRA GÖTALANDS LÄN</t>
        </is>
      </c>
      <c r="G38" t="inlineStr">
        <is>
          <t>LERUM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5359-2023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44959</v>
      </c>
      <c r="E39" s="1" t="n">
        <v>46318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46318</v>
      </c>
      <c r="F40" t="inlineStr">
        <is>
          <t>VÄSTRA GÖTALANDS LÄN</t>
        </is>
      </c>
      <c r="G40" t="inlineStr">
        <is>
          <t>LERUM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38739-2025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45887</v>
      </c>
      <c r="E41" s="1" t="n">
        <v>46318</v>
      </c>
      <c r="F41" t="inlineStr">
        <is>
          <t>VÄSTRA GÖTALANDS LÄN</t>
        </is>
      </c>
      <c r="G41" t="inlineStr">
        <is>
          <t>LERUM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32093-2025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45835</v>
      </c>
      <c r="E42" s="1" t="n">
        <v>46318</v>
      </c>
      <c r="F42" t="inlineStr">
        <is>
          <t>VÄSTRA GÖTALANDS LÄN</t>
        </is>
      </c>
      <c r="G42" t="inlineStr">
        <is>
          <t>LERUM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32095-2025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46318</v>
      </c>
      <c r="F43" t="inlineStr">
        <is>
          <t>VÄSTRA GÖTALANDS LÄN</t>
        </is>
      </c>
      <c r="G43" t="inlineStr">
        <is>
          <t>LERUM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40848-2025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45897</v>
      </c>
      <c r="E44" s="1" t="n">
        <v>46318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46318</v>
      </c>
      <c r="F45" t="inlineStr">
        <is>
          <t>VÄSTRA GÖTALANDS LÄN</t>
        </is>
      </c>
      <c r="G45" t="inlineStr">
        <is>
          <t>LERUM</t>
        </is>
      </c>
      <c r="H45" t="inlineStr">
        <is>
          <t>Kyrkan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46318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46318</v>
      </c>
      <c r="F47" t="inlineStr">
        <is>
          <t>VÄSTRA GÖTALANDS LÄN</t>
        </is>
      </c>
      <c r="G47" t="inlineStr">
        <is>
          <t>LERUM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45363-2025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46318</v>
      </c>
      <c r="F48" t="inlineStr">
        <is>
          <t>VÄSTRA GÖTALANDS LÄN</t>
        </is>
      </c>
      <c r="G48" t="inlineStr">
        <is>
          <t>LERUM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45483-2025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46318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47866-2024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45588</v>
      </c>
      <c r="E50" s="1" t="n">
        <v>46318</v>
      </c>
      <c r="F50" t="inlineStr">
        <is>
          <t>VÄSTRA GÖTALANDS LÄN</t>
        </is>
      </c>
      <c r="G50" t="inlineStr">
        <is>
          <t>LERUM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46957-2025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45929</v>
      </c>
      <c r="E51" s="1" t="n">
        <v>46318</v>
      </c>
      <c r="F51" t="inlineStr">
        <is>
          <t>VÄSTRA GÖTALANDS LÄN</t>
        </is>
      </c>
      <c r="G51" t="inlineStr">
        <is>
          <t>LERUM</t>
        </is>
      </c>
      <c r="I51" t="n">
        <v>8.699999999999999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46318</v>
      </c>
      <c r="F52" t="inlineStr">
        <is>
          <t>VÄSTRA GÖTALANDS LÄN</t>
        </is>
      </c>
      <c r="G52" t="inlineStr">
        <is>
          <t>LERUM</t>
        </is>
      </c>
      <c r="I52" t="n">
        <v>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28139-2024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45476</v>
      </c>
      <c r="E53" s="1" t="n">
        <v>46318</v>
      </c>
      <c r="F53" t="inlineStr">
        <is>
          <t>VÄSTRA GÖTALANDS LÄN</t>
        </is>
      </c>
      <c r="G53" t="inlineStr">
        <is>
          <t>LERUM</t>
        </is>
      </c>
      <c r="I53" t="n">
        <v>5.2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45931</v>
      </c>
      <c r="E54" s="1" t="n">
        <v>46318</v>
      </c>
      <c r="F54" t="inlineStr">
        <is>
          <t>VÄSTRA GÖTALANDS LÄN</t>
        </is>
      </c>
      <c r="G54" t="inlineStr">
        <is>
          <t>LERUM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66104-2021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44517</v>
      </c>
      <c r="E55" s="1" t="n">
        <v>46318</v>
      </c>
      <c r="F55" t="inlineStr">
        <is>
          <t>VÄSTRA GÖTALANDS LÄN</t>
        </is>
      </c>
      <c r="G55" t="inlineStr">
        <is>
          <t>LERUM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46318</v>
      </c>
      <c r="F56" t="inlineStr">
        <is>
          <t>VÄSTRA GÖTALANDS LÄN</t>
        </is>
      </c>
      <c r="G56" t="inlineStr">
        <is>
          <t>LERUM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46318</v>
      </c>
      <c r="F57" t="inlineStr">
        <is>
          <t>VÄSTRA GÖTALANDS LÄN</t>
        </is>
      </c>
      <c r="G57" t="inlineStr">
        <is>
          <t>LERUM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57120-2022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46318</v>
      </c>
      <c r="F58" t="inlineStr">
        <is>
          <t>VÄSTRA GÖTALANDS LÄN</t>
        </is>
      </c>
      <c r="G58" t="inlineStr">
        <is>
          <t>LERUM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46318</v>
      </c>
      <c r="F59" t="inlineStr">
        <is>
          <t>VÄSTRA GÖTALANDS LÄN</t>
        </is>
      </c>
      <c r="G59" t="inlineStr">
        <is>
          <t>LERUM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44943</v>
      </c>
      <c r="E60" s="1" t="n">
        <v>46318</v>
      </c>
      <c r="F60" t="inlineStr">
        <is>
          <t>VÄSTRA GÖTALANDS LÄN</t>
        </is>
      </c>
      <c r="G60" t="inlineStr">
        <is>
          <t>LERUM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46318</v>
      </c>
      <c r="F61" t="inlineStr">
        <is>
          <t>VÄSTRA GÖTALANDS LÄN</t>
        </is>
      </c>
      <c r="G61" t="inlineStr">
        <is>
          <t>LERUM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46318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46318</v>
      </c>
      <c r="F63" t="inlineStr">
        <is>
          <t>VÄSTRA GÖTALANDS LÄN</t>
        </is>
      </c>
      <c r="G63" t="inlineStr">
        <is>
          <t>LERUM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46318</v>
      </c>
      <c r="F64" t="inlineStr">
        <is>
          <t>VÄSTRA GÖTALANDS LÄN</t>
        </is>
      </c>
      <c r="G64" t="inlineStr">
        <is>
          <t>LERUM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44970</v>
      </c>
      <c r="E65" s="1" t="n">
        <v>46318</v>
      </c>
      <c r="F65" t="inlineStr">
        <is>
          <t>VÄSTRA GÖTALANDS LÄN</t>
        </is>
      </c>
      <c r="G65" t="inlineStr">
        <is>
          <t>LERUM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13156-2024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45386</v>
      </c>
      <c r="E66" s="1" t="n">
        <v>46318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44712</v>
      </c>
      <c r="E67" s="1" t="n">
        <v>46318</v>
      </c>
      <c r="F67" t="inlineStr">
        <is>
          <t>VÄSTRA GÖTALANDS LÄN</t>
        </is>
      </c>
      <c r="G67" t="inlineStr">
        <is>
          <t>LERUM</t>
        </is>
      </c>
      <c r="I67" t="n">
        <v>23.3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45350</v>
      </c>
      <c r="E68" s="1" t="n">
        <v>46318</v>
      </c>
      <c r="F68" t="inlineStr">
        <is>
          <t>VÄSTRA GÖTALANDS LÄN</t>
        </is>
      </c>
      <c r="G68" t="inlineStr">
        <is>
          <t>LERUM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44780-2025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45917</v>
      </c>
      <c r="E69" s="1" t="n">
        <v>46318</v>
      </c>
      <c r="F69" t="inlineStr">
        <is>
          <t>VÄSTRA GÖTALANDS LÄN</t>
        </is>
      </c>
      <c r="G69" t="inlineStr">
        <is>
          <t>LERUM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46318</v>
      </c>
      <c r="F70" t="inlineStr">
        <is>
          <t>VÄSTRA GÖTALANDS LÄN</t>
        </is>
      </c>
      <c r="G70" t="inlineStr">
        <is>
          <t>LERUM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31687-2025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46318</v>
      </c>
      <c r="F71" t="inlineStr">
        <is>
          <t>VÄSTRA GÖTALANDS LÄN</t>
        </is>
      </c>
      <c r="G71" t="inlineStr">
        <is>
          <t>LERUM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46318</v>
      </c>
      <c r="F72" t="inlineStr">
        <is>
          <t>VÄSTRA GÖTALANDS LÄN</t>
        </is>
      </c>
      <c r="G72" t="inlineStr">
        <is>
          <t>LERUM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11124-2025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45723</v>
      </c>
      <c r="E73" s="1" t="n">
        <v>46318</v>
      </c>
      <c r="F73" t="inlineStr">
        <is>
          <t>VÄSTRA GÖTALANDS LÄN</t>
        </is>
      </c>
      <c r="G73" t="inlineStr">
        <is>
          <t>LERUM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46318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16648-2023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45028</v>
      </c>
      <c r="E75" s="1" t="n">
        <v>46318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58042-2025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45982</v>
      </c>
      <c r="E76" s="1" t="n">
        <v>46318</v>
      </c>
      <c r="F76" t="inlineStr">
        <is>
          <t>VÄSTRA GÖTALANDS LÄN</t>
        </is>
      </c>
      <c r="G76" t="inlineStr">
        <is>
          <t>LERUM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50420-2023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46318</v>
      </c>
      <c r="F77" t="inlineStr">
        <is>
          <t>VÄSTRA GÖTALANDS LÄN</t>
        </is>
      </c>
      <c r="G77" t="inlineStr">
        <is>
          <t>LERUM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35199-2023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45145</v>
      </c>
      <c r="E78" s="1" t="n">
        <v>46318</v>
      </c>
      <c r="F78" t="inlineStr">
        <is>
          <t>VÄSTRA GÖTALANDS LÄN</t>
        </is>
      </c>
      <c r="G78" t="inlineStr">
        <is>
          <t>LERUM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45300</v>
      </c>
      <c r="E79" s="1" t="n">
        <v>46318</v>
      </c>
      <c r="F79" t="inlineStr">
        <is>
          <t>VÄSTRA GÖTALANDS LÄN</t>
        </is>
      </c>
      <c r="G79" t="inlineStr">
        <is>
          <t>LERUM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46318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46318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45817</v>
      </c>
      <c r="E82" s="1" t="n">
        <v>46318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46318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46318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46318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46318</v>
      </c>
      <c r="F86" t="inlineStr">
        <is>
          <t>VÄSTRA GÖTALANDS LÄN</t>
        </is>
      </c>
      <c r="G86" t="inlineStr">
        <is>
          <t>LERUM</t>
        </is>
      </c>
      <c r="I86" t="n">
        <v>5.4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44710</v>
      </c>
      <c r="E87" s="1" t="n">
        <v>46318</v>
      </c>
      <c r="F87" t="inlineStr">
        <is>
          <t>VÄSTRA GÖTALANDS LÄN</t>
        </is>
      </c>
      <c r="G87" t="inlineStr">
        <is>
          <t>LERUM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2420-2026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46034</v>
      </c>
      <c r="E88" s="1" t="n">
        <v>46318</v>
      </c>
      <c r="F88" t="inlineStr">
        <is>
          <t>VÄSTRA GÖTALANDS LÄN</t>
        </is>
      </c>
      <c r="G88" t="inlineStr">
        <is>
          <t>LERUM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46036</v>
      </c>
      <c r="E89" s="1" t="n">
        <v>46318</v>
      </c>
      <c r="F89" t="inlineStr">
        <is>
          <t>VÄSTRA GÖTALANDS LÄN</t>
        </is>
      </c>
      <c r="G89" t="inlineStr">
        <is>
          <t>LERUM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45055</v>
      </c>
      <c r="E90" s="1" t="n">
        <v>46318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11232-2025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45726</v>
      </c>
      <c r="E91" s="1" t="n">
        <v>46318</v>
      </c>
      <c r="F91" t="inlineStr">
        <is>
          <t>VÄSTRA GÖTALANDS LÄN</t>
        </is>
      </c>
      <c r="G91" t="inlineStr">
        <is>
          <t>LERUM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46318</v>
      </c>
      <c r="F92" t="inlineStr">
        <is>
          <t>VÄSTRA GÖTALANDS LÄN</t>
        </is>
      </c>
      <c r="G92" t="inlineStr">
        <is>
          <t>LERUM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46206</v>
      </c>
      <c r="E93" s="1" t="n">
        <v>46318</v>
      </c>
      <c r="F93" t="inlineStr">
        <is>
          <t>VÄSTRA GÖTALANDS LÄN</t>
        </is>
      </c>
      <c r="G93" t="inlineStr">
        <is>
          <t>LERUM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46316</v>
      </c>
      <c r="E94" s="1" t="n">
        <v>46318</v>
      </c>
      <c r="F94" t="inlineStr">
        <is>
          <t>VÄSTRA GÖTALANDS LÄN</t>
        </is>
      </c>
      <c r="G94" t="inlineStr">
        <is>
          <t>LERUM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21133-2022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44704</v>
      </c>
      <c r="E95" s="1" t="n">
        <v>46318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19238-2026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46318</v>
      </c>
      <c r="F96" t="inlineStr">
        <is>
          <t>VÄSTRA GÖTALANDS LÄN</t>
        </is>
      </c>
      <c r="G96" t="inlineStr">
        <is>
          <t>LERUM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46318</v>
      </c>
      <c r="F97" t="inlineStr">
        <is>
          <t>VÄSTRA GÖTALANDS LÄN</t>
        </is>
      </c>
      <c r="G97" t="inlineStr">
        <is>
          <t>LERUM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46276</v>
      </c>
      <c r="E98" s="1" t="n">
        <v>46318</v>
      </c>
      <c r="F98" t="inlineStr">
        <is>
          <t>VÄSTRA GÖTALANDS LÄN</t>
        </is>
      </c>
      <c r="G98" t="inlineStr">
        <is>
          <t>LERUM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46318</v>
      </c>
      <c r="F99" t="inlineStr">
        <is>
          <t>VÄSTRA GÖTALANDS LÄN</t>
        </is>
      </c>
      <c r="G99" t="inlineStr">
        <is>
          <t>LERUM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46318</v>
      </c>
      <c r="F100" t="inlineStr">
        <is>
          <t>VÄSTRA GÖTALANDS LÄN</t>
        </is>
      </c>
      <c r="G100" t="inlineStr">
        <is>
          <t>LERUM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7989-2024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45350</v>
      </c>
      <c r="E101" s="1" t="n">
        <v>46318</v>
      </c>
      <c r="F101" t="inlineStr">
        <is>
          <t>VÄSTRA GÖTALANDS LÄN</t>
        </is>
      </c>
      <c r="G101" t="inlineStr">
        <is>
          <t>LERUM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46318</v>
      </c>
      <c r="F102" t="inlineStr">
        <is>
          <t>VÄSTRA GÖTALANDS LÄN</t>
        </is>
      </c>
      <c r="G102" t="inlineStr">
        <is>
          <t>LERUM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46318</v>
      </c>
      <c r="F103" t="inlineStr">
        <is>
          <t>VÄSTRA GÖTALANDS LÄN</t>
        </is>
      </c>
      <c r="G103" t="inlineStr">
        <is>
          <t>LERUM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46318</v>
      </c>
      <c r="F104" t="inlineStr">
        <is>
          <t>VÄSTRA GÖTALANDS LÄN</t>
        </is>
      </c>
      <c r="G104" t="inlineStr">
        <is>
          <t>LERUM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44828</v>
      </c>
      <c r="E105" s="1" t="n">
        <v>46318</v>
      </c>
      <c r="F105" t="inlineStr">
        <is>
          <t>VÄSTRA GÖTALANDS LÄN</t>
        </is>
      </c>
      <c r="G105" t="inlineStr">
        <is>
          <t>LERUM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46318</v>
      </c>
      <c r="F106" t="inlineStr">
        <is>
          <t>VÄSTRA GÖTALANDS LÄN</t>
        </is>
      </c>
      <c r="G106" t="inlineStr">
        <is>
          <t>LERUM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47398-2024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46318</v>
      </c>
      <c r="F107" t="inlineStr">
        <is>
          <t>VÄSTRA GÖTALANDS LÄN</t>
        </is>
      </c>
      <c r="G107" t="inlineStr">
        <is>
          <t>LERUM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7429-2024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45345</v>
      </c>
      <c r="E108" s="1" t="n">
        <v>46318</v>
      </c>
      <c r="F108" t="inlineStr">
        <is>
          <t>VÄSTRA GÖTALANDS LÄN</t>
        </is>
      </c>
      <c r="G108" t="inlineStr">
        <is>
          <t>LERUM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17071-2024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45412</v>
      </c>
      <c r="E109" s="1" t="n">
        <v>46318</v>
      </c>
      <c r="F109" t="inlineStr">
        <is>
          <t>VÄSTRA GÖTALANDS LÄN</t>
        </is>
      </c>
      <c r="G109" t="inlineStr">
        <is>
          <t>LERUM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46318</v>
      </c>
      <c r="F110" t="inlineStr">
        <is>
          <t>VÄSTRA GÖTALANDS LÄN</t>
        </is>
      </c>
      <c r="G110" t="inlineStr">
        <is>
          <t>LERUM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40709-2023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45170</v>
      </c>
      <c r="E111" s="1" t="n">
        <v>46318</v>
      </c>
      <c r="F111" t="inlineStr">
        <is>
          <t>VÄSTRA GÖTALANDS LÄN</t>
        </is>
      </c>
      <c r="G111" t="inlineStr">
        <is>
          <t>LERUM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46318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46318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2026-10-23T02:03:53Z</dcterms:created>
  <dcterms:modified xmlns:dcterms="http://purl.org/dc/terms/" xmlns:xsi="http://www.w3.org/2001/XMLSchema-instance" xsi:type="dcterms:W3CDTF">2026-10-23T02:03:53Z</dcterms:modified>
</cp:coreProperties>
</file>