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46326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43</v>
      </c>
      <c r="U2" t="n">
        <v>1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46326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46326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46326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46326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3543-2024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45320</v>
      </c>
      <c r="E7" s="1" t="n">
        <v>46326</v>
      </c>
      <c r="F7" t="inlineStr">
        <is>
          <t>VÄSTRA GÖTALANDS LÄN</t>
        </is>
      </c>
      <c r="G7" t="inlineStr">
        <is>
          <t>LERUM</t>
        </is>
      </c>
      <c r="I7" t="n">
        <v>3.9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Grönhjon
Dolkstekelsglasvinge
Spillkråka
Huggorm</t>
        </is>
      </c>
      <c r="W7">
        <f>HYPERLINK("https://klasma.github.io/Logging_1441/artfynd/A 3543-2024 artfynd.xlsx", "A 3543-2024")</f>
        <v/>
      </c>
      <c r="X7">
        <f>HYPERLINK("https://klasma.github.io/Logging_1441/kartor/A 3543-2024 karta.png", "A 3543-2024")</f>
        <v/>
      </c>
      <c r="Y7">
        <f>HYPERLINK("https://klasma.github.io/Logging_1441/kartor_geotiff/A 3543-2024 georefererad karta.tif", "A 3543-2024")</f>
        <v/>
      </c>
      <c r="AA7">
        <f>HYPERLINK("https://klasma.github.io/Logging_1441/klagomål/A 3543-2024 FSC-klagomål.docx", "A 3543-2024")</f>
        <v/>
      </c>
      <c r="AB7">
        <f>HYPERLINK("https://klasma.github.io/Logging_1441/klagomålsmail/A 3543-2024 FSC-klagomål mail.docx", "A 3543-2024")</f>
        <v/>
      </c>
      <c r="AC7">
        <f>HYPERLINK("https://klasma.github.io/Logging_1441/tillsyn/A 3543-2024 tillsynsbegäran.docx", "A 3543-2024")</f>
        <v/>
      </c>
      <c r="AD7">
        <f>HYPERLINK("https://klasma.github.io/Logging_1441/tillsynsmail/A 3543-2024 tillsynsbegäran mail.docx", "A 3543-2024")</f>
        <v/>
      </c>
      <c r="AE7">
        <f>HYPERLINK("https://klasma.github.io/Logging_1441/fåglar/A 3543-2024 prioriterade fågelarter.docx", "A 3543-2024")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46326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46326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46326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46326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46326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46326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46326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10410-2022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46326</v>
      </c>
      <c r="F15" t="inlineStr">
        <is>
          <t>VÄSTRA GÖTALANDS LÄN</t>
        </is>
      </c>
      <c r="G15" t="inlineStr">
        <is>
          <t>LERUM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HYPERLINK("https://klasma.github.io/Logging_1441/artfynd/A 10410-2022 artfynd.xlsx", "A 10410-2022")</f>
        <v/>
      </c>
      <c r="X15">
        <f>HYPERLINK("https://klasma.github.io/Logging_1441/kartor/A 10410-2022 karta.png", "A 10410-2022")</f>
        <v/>
      </c>
      <c r="Y15">
        <f>HYPERLINK("https://klasma.github.io/Logging_1441/kartor_geotiff/A 10410-2022 georefererad karta.tif", "A 10410-2022")</f>
        <v/>
      </c>
      <c r="AA15">
        <f>HYPERLINK("https://klasma.github.io/Logging_1441/klagomål/A 10410-2022 FSC-klagomål.docx", "A 10410-2022")</f>
        <v/>
      </c>
      <c r="AB15">
        <f>HYPERLINK("https://klasma.github.io/Logging_1441/klagomålsmail/A 10410-2022 FSC-klagomål mail.docx", "A 10410-2022")</f>
        <v/>
      </c>
      <c r="AC15">
        <f>HYPERLINK("https://klasma.github.io/Logging_1441/tillsyn/A 10410-2022 tillsynsbegäran.docx", "A 10410-2022")</f>
        <v/>
      </c>
      <c r="AD15">
        <f>HYPERLINK("https://klasma.github.io/Logging_1441/tillsynsmail/A 10410-2022 tillsynsbegäran mail.docx", "A 10410-2022")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46326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46326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46326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46326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46326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46326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46326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46326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46326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46326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46326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46326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46326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46326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46326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46326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46326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46326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46326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13156-2024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45386</v>
      </c>
      <c r="E35" s="1" t="n">
        <v>46326</v>
      </c>
      <c r="F35" t="inlineStr">
        <is>
          <t>VÄSTRA GÖTALANDS LÄN</t>
        </is>
      </c>
      <c r="G35" t="inlineStr">
        <is>
          <t>LERUM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35199-2023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45145</v>
      </c>
      <c r="E36" s="1" t="n">
        <v>46326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46326</v>
      </c>
      <c r="F37" t="inlineStr">
        <is>
          <t>VÄSTRA GÖTALANDS LÄN</t>
        </is>
      </c>
      <c r="G37" t="inlineStr">
        <is>
          <t>LERUM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45805</v>
      </c>
      <c r="E38" s="1" t="n">
        <v>46326</v>
      </c>
      <c r="F38" t="inlineStr">
        <is>
          <t>VÄSTRA GÖTALANDS LÄN</t>
        </is>
      </c>
      <c r="G38" t="inlineStr">
        <is>
          <t>LERUM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20210-2023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45055</v>
      </c>
      <c r="E39" s="1" t="n">
        <v>46326</v>
      </c>
      <c r="F39" t="inlineStr">
        <is>
          <t>VÄSTRA GÖTALANDS LÄN</t>
        </is>
      </c>
      <c r="G39" t="inlineStr">
        <is>
          <t>LERUM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46326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27367-2025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45812</v>
      </c>
      <c r="E41" s="1" t="n">
        <v>46326</v>
      </c>
      <c r="F41" t="inlineStr">
        <is>
          <t>VÄSTRA GÖTALANDS LÄN</t>
        </is>
      </c>
      <c r="G41" t="inlineStr">
        <is>
          <t>LERUM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28089-2022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46326</v>
      </c>
      <c r="F42" t="inlineStr">
        <is>
          <t>VÄSTRA GÖTALANDS LÄN</t>
        </is>
      </c>
      <c r="G42" t="inlineStr">
        <is>
          <t>LERUM</t>
        </is>
      </c>
      <c r="I42" t="n">
        <v>7.4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46326</v>
      </c>
      <c r="F43" t="inlineStr">
        <is>
          <t>VÄSTRA GÖTALANDS LÄN</t>
        </is>
      </c>
      <c r="G43" t="inlineStr">
        <is>
          <t>LERUM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40848-2025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45897</v>
      </c>
      <c r="E44" s="1" t="n">
        <v>46326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46326</v>
      </c>
      <c r="F45" t="inlineStr">
        <is>
          <t>VÄSTRA GÖTALANDS LÄN</t>
        </is>
      </c>
      <c r="G45" t="inlineStr">
        <is>
          <t>LERUM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32093-2025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46326</v>
      </c>
      <c r="F46" t="inlineStr">
        <is>
          <t>VÄSTRA GÖTALANDS LÄN</t>
        </is>
      </c>
      <c r="G46" t="inlineStr">
        <is>
          <t>LERUM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46326</v>
      </c>
      <c r="F47" t="inlineStr">
        <is>
          <t>VÄSTRA GÖTALANDS LÄN</t>
        </is>
      </c>
      <c r="G47" t="inlineStr">
        <is>
          <t>LERUM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37441-2022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46326</v>
      </c>
      <c r="F48" t="inlineStr">
        <is>
          <t>VÄSTRA GÖTALANDS LÄN</t>
        </is>
      </c>
      <c r="G48" t="inlineStr">
        <is>
          <t>LERUM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45132-2025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45919</v>
      </c>
      <c r="E49" s="1" t="n">
        <v>46326</v>
      </c>
      <c r="F49" t="inlineStr">
        <is>
          <t>VÄSTRA GÖTALANDS LÄN</t>
        </is>
      </c>
      <c r="G49" t="inlineStr">
        <is>
          <t>LERUM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46326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46326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46326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45216</v>
      </c>
      <c r="E53" s="1" t="n">
        <v>46326</v>
      </c>
      <c r="F53" t="inlineStr">
        <is>
          <t>VÄSTRA GÖTALANDS LÄN</t>
        </is>
      </c>
      <c r="G53" t="inlineStr">
        <is>
          <t>LERUM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46326</v>
      </c>
      <c r="F54" t="inlineStr">
        <is>
          <t>VÄSTRA GÖTALANDS LÄN</t>
        </is>
      </c>
      <c r="G54" t="inlineStr">
        <is>
          <t>LERUM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46326</v>
      </c>
      <c r="F55" t="inlineStr">
        <is>
          <t>VÄSTRA GÖTALANDS LÄN</t>
        </is>
      </c>
      <c r="G55" t="inlineStr">
        <is>
          <t>LERUM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46957-2025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45929</v>
      </c>
      <c r="E56" s="1" t="n">
        <v>46326</v>
      </c>
      <c r="F56" t="inlineStr">
        <is>
          <t>VÄSTRA GÖTALANDS LÄN</t>
        </is>
      </c>
      <c r="G56" t="inlineStr">
        <is>
          <t>LERUM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46326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66104-2021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46326</v>
      </c>
      <c r="F58" t="inlineStr">
        <is>
          <t>VÄSTRA GÖTALANDS LÄN</t>
        </is>
      </c>
      <c r="G58" t="inlineStr">
        <is>
          <t>LERUM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46326</v>
      </c>
      <c r="F59" t="inlineStr">
        <is>
          <t>VÄSTRA GÖTALANDS LÄN</t>
        </is>
      </c>
      <c r="G59" t="inlineStr">
        <is>
          <t>LERUM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46326</v>
      </c>
      <c r="F60" t="inlineStr">
        <is>
          <t>VÄSTRA GÖTALANDS LÄN</t>
        </is>
      </c>
      <c r="G60" t="inlineStr">
        <is>
          <t>LERUM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57120-2022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46326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46326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44943</v>
      </c>
      <c r="E63" s="1" t="n">
        <v>46326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46326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46326</v>
      </c>
      <c r="F65" t="inlineStr">
        <is>
          <t>VÄSTRA GÖTALANDS LÄN</t>
        </is>
      </c>
      <c r="G65" t="inlineStr">
        <is>
          <t>LERUM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46326</v>
      </c>
      <c r="F66" t="inlineStr">
        <is>
          <t>VÄSTRA GÖTALANDS LÄN</t>
        </is>
      </c>
      <c r="G66" t="inlineStr">
        <is>
          <t>LERUM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46326</v>
      </c>
      <c r="F67" t="inlineStr">
        <is>
          <t>VÄSTRA GÖTALANDS LÄN</t>
        </is>
      </c>
      <c r="G67" t="inlineStr">
        <is>
          <t>LERUM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46326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50405-2023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46326</v>
      </c>
      <c r="F69" t="inlineStr">
        <is>
          <t>VÄSTRA GÖTALANDS LÄN</t>
        </is>
      </c>
      <c r="G69" t="inlineStr">
        <is>
          <t>LERUM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46326</v>
      </c>
      <c r="F70" t="inlineStr">
        <is>
          <t>VÄSTRA GÖTALANDS LÄN</t>
        </is>
      </c>
      <c r="G70" t="inlineStr">
        <is>
          <t>LERUM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47866-2024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46326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11232-2025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45726</v>
      </c>
      <c r="E72" s="1" t="n">
        <v>46326</v>
      </c>
      <c r="F72" t="inlineStr">
        <is>
          <t>VÄSTRA GÖTALANDS LÄN</t>
        </is>
      </c>
      <c r="G72" t="inlineStr">
        <is>
          <t>LERUM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41836-2022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44828</v>
      </c>
      <c r="E73" s="1" t="n">
        <v>46326</v>
      </c>
      <c r="F73" t="inlineStr">
        <is>
          <t>VÄSTRA GÖTALANDS LÄN</t>
        </is>
      </c>
      <c r="G73" t="inlineStr">
        <is>
          <t>LERUM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46326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45982</v>
      </c>
      <c r="E75" s="1" t="n">
        <v>46326</v>
      </c>
      <c r="F75" t="inlineStr">
        <is>
          <t>VÄSTRA GÖTALANDS LÄN</t>
        </is>
      </c>
      <c r="G75" t="inlineStr">
        <is>
          <t>LERUM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46326</v>
      </c>
      <c r="F76" t="inlineStr">
        <is>
          <t>VÄSTRA GÖTALANDS LÄN</t>
        </is>
      </c>
      <c r="G76" t="inlineStr">
        <is>
          <t>LERUM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46326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46326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7429-2024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45345</v>
      </c>
      <c r="E79" s="1" t="n">
        <v>46326</v>
      </c>
      <c r="F79" t="inlineStr">
        <is>
          <t>VÄSTRA GÖTALANDS LÄN</t>
        </is>
      </c>
      <c r="G79" t="inlineStr">
        <is>
          <t>LERUM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46326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46326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46326</v>
      </c>
      <c r="F82" t="inlineStr">
        <is>
          <t>VÄSTRA GÖTALANDS LÄN</t>
        </is>
      </c>
      <c r="G82" t="inlineStr">
        <is>
          <t>LERUM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46326</v>
      </c>
      <c r="F83" t="inlineStr">
        <is>
          <t>VÄSTRA GÖTALANDS LÄN</t>
        </is>
      </c>
      <c r="G83" t="inlineStr">
        <is>
          <t>LERUM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21133-2022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44704</v>
      </c>
      <c r="E84" s="1" t="n">
        <v>46326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46326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44700</v>
      </c>
      <c r="E86" s="1" t="n">
        <v>46326</v>
      </c>
      <c r="F86" t="inlineStr">
        <is>
          <t>VÄSTRA GÖTALANDS LÄN</t>
        </is>
      </c>
      <c r="G86" t="inlineStr">
        <is>
          <t>LERUM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22300-2022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44712</v>
      </c>
      <c r="E87" s="1" t="n">
        <v>46326</v>
      </c>
      <c r="F87" t="inlineStr">
        <is>
          <t>VÄSTRA GÖTALANDS LÄN</t>
        </is>
      </c>
      <c r="G87" t="inlineStr">
        <is>
          <t>LERUM</t>
        </is>
      </c>
      <c r="I87" t="n">
        <v>23.3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46326</v>
      </c>
      <c r="F88" t="inlineStr">
        <is>
          <t>VÄSTRA GÖTALANDS LÄN</t>
        </is>
      </c>
      <c r="G88" t="inlineStr">
        <is>
          <t>LERUM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46326</v>
      </c>
      <c r="F89" t="inlineStr">
        <is>
          <t>VÄSTRA GÖTALANDS LÄN</t>
        </is>
      </c>
      <c r="G89" t="inlineStr">
        <is>
          <t>LERUM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46326</v>
      </c>
      <c r="F90" t="inlineStr">
        <is>
          <t>VÄSTRA GÖTALANDS LÄN</t>
        </is>
      </c>
      <c r="G90" t="inlineStr">
        <is>
          <t>LERUM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46326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46326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45723</v>
      </c>
      <c r="E93" s="1" t="n">
        <v>46326</v>
      </c>
      <c r="F93" t="inlineStr">
        <is>
          <t>VÄSTRA GÖTALANDS LÄN</t>
        </is>
      </c>
      <c r="G93" t="inlineStr">
        <is>
          <t>LERUM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24163-2024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45441</v>
      </c>
      <c r="E94" s="1" t="n">
        <v>46326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46326</v>
      </c>
      <c r="F95" t="inlineStr">
        <is>
          <t>VÄSTRA GÖTALANDS LÄN</t>
        </is>
      </c>
      <c r="G95" t="inlineStr">
        <is>
          <t>LERUM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44959</v>
      </c>
      <c r="E96" s="1" t="n">
        <v>46326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46326</v>
      </c>
      <c r="F97" t="inlineStr">
        <is>
          <t>VÄSTRA GÖTALANDS LÄN</t>
        </is>
      </c>
      <c r="G97" t="inlineStr">
        <is>
          <t>LERUM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46326</v>
      </c>
      <c r="F98" t="inlineStr">
        <is>
          <t>VÄSTRA GÖTALANDS LÄN</t>
        </is>
      </c>
      <c r="G98" t="inlineStr">
        <is>
          <t>LERUM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46326</v>
      </c>
      <c r="F99" t="inlineStr">
        <is>
          <t>VÄSTRA GÖTALANDS LÄN</t>
        </is>
      </c>
      <c r="G99" t="inlineStr">
        <is>
          <t>LERUM</t>
        </is>
      </c>
      <c r="H99" t="inlineStr">
        <is>
          <t>Kyrkan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45476</v>
      </c>
      <c r="E100" s="1" t="n">
        <v>46326</v>
      </c>
      <c r="F100" t="inlineStr">
        <is>
          <t>VÄSTRA GÖTALANDS LÄN</t>
        </is>
      </c>
      <c r="G100" t="inlineStr">
        <is>
          <t>LERUM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46326</v>
      </c>
      <c r="F101" t="inlineStr">
        <is>
          <t>VÄSTRA GÖTALANDS LÄN</t>
        </is>
      </c>
      <c r="G101" t="inlineStr">
        <is>
          <t>LERUM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46326</v>
      </c>
      <c r="F102" t="inlineStr">
        <is>
          <t>VÄSTRA GÖTALANDS LÄN</t>
        </is>
      </c>
      <c r="G102" t="inlineStr">
        <is>
          <t>LERUM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45028</v>
      </c>
      <c r="E103" s="1" t="n">
        <v>46326</v>
      </c>
      <c r="F103" t="inlineStr">
        <is>
          <t>VÄSTRA GÖTALANDS LÄN</t>
        </is>
      </c>
      <c r="G103" t="inlineStr">
        <is>
          <t>LERUM</t>
        </is>
      </c>
      <c r="H103" t="inlineStr">
        <is>
          <t>Kyrkan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46326</v>
      </c>
      <c r="F104" t="inlineStr">
        <is>
          <t>VÄSTRA GÖTALANDS LÄN</t>
        </is>
      </c>
      <c r="G104" t="inlineStr">
        <is>
          <t>LERUM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45300</v>
      </c>
      <c r="E105" s="1" t="n">
        <v>46326</v>
      </c>
      <c r="F105" t="inlineStr">
        <is>
          <t>VÄSTRA GÖTALANDS LÄN</t>
        </is>
      </c>
      <c r="G105" t="inlineStr">
        <is>
          <t>LERUM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46326</v>
      </c>
      <c r="F106" t="inlineStr">
        <is>
          <t>VÄSTRA GÖTALANDS LÄN</t>
        </is>
      </c>
      <c r="G106" t="inlineStr">
        <is>
          <t>LERUM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44710</v>
      </c>
      <c r="E107" s="1" t="n">
        <v>46326</v>
      </c>
      <c r="F107" t="inlineStr">
        <is>
          <t>VÄSTRA GÖTALANDS LÄN</t>
        </is>
      </c>
      <c r="G107" t="inlineStr">
        <is>
          <t>LERUM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33070-2026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46326</v>
      </c>
      <c r="F108" t="inlineStr">
        <is>
          <t>VÄSTRA GÖTALANDS LÄN</t>
        </is>
      </c>
      <c r="G108" t="inlineStr">
        <is>
          <t>LERUM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46290</v>
      </c>
      <c r="E109" s="1" t="n">
        <v>46326</v>
      </c>
      <c r="F109" t="inlineStr">
        <is>
          <t>VÄSTRA GÖTALANDS LÄN</t>
        </is>
      </c>
      <c r="G109" t="inlineStr">
        <is>
          <t>LERUM</t>
        </is>
      </c>
      <c r="I109" t="n">
        <v>7.3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46316</v>
      </c>
      <c r="E110" s="1" t="n">
        <v>46326</v>
      </c>
      <c r="F110" t="inlineStr">
        <is>
          <t>VÄSTRA GÖTALANDS LÄN</t>
        </is>
      </c>
      <c r="G110" t="inlineStr">
        <is>
          <t>LERUM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46276</v>
      </c>
      <c r="E111" s="1" t="n">
        <v>46326</v>
      </c>
      <c r="F111" t="inlineStr">
        <is>
          <t>VÄSTRA GÖTALANDS LÄN</t>
        </is>
      </c>
      <c r="G111" t="inlineStr">
        <is>
          <t>LERUM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46326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46326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2026-10-31T03:26:16Z</dcterms:created>
  <dcterms:modified xmlns:dcterms="http://purl.org/dc/terms/" xmlns:xsi="http://www.w3.org/2001/XMLSchema-instance" xsi:type="dcterms:W3CDTF">2026-10-31T03:26:16Z</dcterms:modified>
</cp:coreProperties>
</file>