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46282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46282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46282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46282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46282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46282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46282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46282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64855-2023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46282</v>
      </c>
      <c r="F17" t="inlineStr">
        <is>
          <t>VÄSTRA GÖTALANDS LÄN</t>
        </is>
      </c>
      <c r="G17" t="inlineStr">
        <is>
          <t>LERUM</t>
        </is>
      </c>
      <c r="I17" t="n">
        <v>3.7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HYPERLINK("https://klasma.github.io/Logging_1441/artfynd/A 64855-2023 artfynd.xlsx", "A 64855-2023")</f>
        <v/>
      </c>
      <c r="X17">
        <f>HYPERLINK("https://klasma.github.io/Logging_1441/kartor/A 64855-2023 karta.png", "A 64855-2023")</f>
        <v/>
      </c>
      <c r="Y17">
        <f>HYPERLINK("https://klasma.github.io/Logging_1441/kartor_geotiff/A 64855-2023 georefererad karta.tif", "A 64855-2023")</f>
        <v/>
      </c>
      <c r="AA17">
        <f>HYPERLINK("https://klasma.github.io/Logging_1441/klagomål/A 64855-2023 FSC-klagomål.docx", "A 64855-2023")</f>
        <v/>
      </c>
      <c r="AB17">
        <f>HYPERLINK("https://klasma.github.io/Logging_1441/klagomålsmail/A 64855-2023 FSC-klagomål mail.docx", "A 64855-2023")</f>
        <v/>
      </c>
      <c r="AC17">
        <f>HYPERLINK("https://klasma.github.io/Logging_1441/tillsyn/A 64855-2023 tillsynsbegäran.docx", "A 64855-2023")</f>
        <v/>
      </c>
      <c r="AD17">
        <f>HYPERLINK("https://klasma.github.io/Logging_1441/tillsynsmail/A 64855-2023 tillsynsbegäran mail.docx", "A 64855-2023")</f>
        <v/>
      </c>
      <c r="AE17">
        <f>HYPERLINK("https://klasma.github.io/Logging_1441/fåglar/A 64855-2023 prioriterade fågelarter.docx", "A 64855-2023")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46282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46282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46282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46282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46282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46282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46282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46282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46282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46282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46282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46282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46282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46282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46282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27367-2025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45812</v>
      </c>
      <c r="E43" s="1" t="n">
        <v>46282</v>
      </c>
      <c r="F43" t="inlineStr">
        <is>
          <t>VÄSTRA GÖTALANDS LÄN</t>
        </is>
      </c>
      <c r="G43" t="inlineStr">
        <is>
          <t>LERUM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45055</v>
      </c>
      <c r="E44" s="1" t="n">
        <v>46282</v>
      </c>
      <c r="F44" t="inlineStr">
        <is>
          <t>VÄSTRA GÖTALANDS LÄN</t>
        </is>
      </c>
      <c r="G44" t="inlineStr">
        <is>
          <t>LERUM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45897</v>
      </c>
      <c r="E45" s="1" t="n">
        <v>46282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46282</v>
      </c>
      <c r="F46" t="inlineStr">
        <is>
          <t>VÄSTRA GÖTALANDS LÄN</t>
        </is>
      </c>
      <c r="G46" t="inlineStr">
        <is>
          <t>LERUM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46282</v>
      </c>
      <c r="F47" t="inlineStr">
        <is>
          <t>VÄSTRA GÖTALANDS LÄN</t>
        </is>
      </c>
      <c r="G47" t="inlineStr">
        <is>
          <t>LERUM</t>
        </is>
      </c>
      <c r="I47" t="n">
        <v>7.4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32093-2025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46282</v>
      </c>
      <c r="F48" t="inlineStr">
        <is>
          <t>VÄSTRA GÖTALANDS LÄN</t>
        </is>
      </c>
      <c r="G48" t="inlineStr">
        <is>
          <t>LERUM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46282</v>
      </c>
      <c r="F49" t="inlineStr">
        <is>
          <t>VÄSTRA GÖTALANDS LÄN</t>
        </is>
      </c>
      <c r="G49" t="inlineStr">
        <is>
          <t>LERUM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46282</v>
      </c>
      <c r="F50" t="inlineStr">
        <is>
          <t>VÄSTRA GÖTALANDS LÄN</t>
        </is>
      </c>
      <c r="G50" t="inlineStr">
        <is>
          <t>LERUM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45919</v>
      </c>
      <c r="E51" s="1" t="n">
        <v>46282</v>
      </c>
      <c r="F51" t="inlineStr">
        <is>
          <t>VÄSTRA GÖTALANDS LÄN</t>
        </is>
      </c>
      <c r="G51" t="inlineStr">
        <is>
          <t>LERUM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46282</v>
      </c>
      <c r="F52" t="inlineStr">
        <is>
          <t>VÄSTRA GÖTALANDS LÄN</t>
        </is>
      </c>
      <c r="G52" t="inlineStr">
        <is>
          <t>LERUM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46282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46282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46282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46282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46282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46282</v>
      </c>
      <c r="F58" t="inlineStr">
        <is>
          <t>VÄSTRA GÖTALANDS LÄN</t>
        </is>
      </c>
      <c r="G58" t="inlineStr">
        <is>
          <t>LERUM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46282</v>
      </c>
      <c r="F59" t="inlineStr">
        <is>
          <t>VÄSTRA GÖTALANDS LÄN</t>
        </is>
      </c>
      <c r="G59" t="inlineStr">
        <is>
          <t>LERUM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46282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44805</v>
      </c>
      <c r="E61" s="1" t="n">
        <v>46282</v>
      </c>
      <c r="F61" t="inlineStr">
        <is>
          <t>VÄSTRA GÖTALANDS LÄN</t>
        </is>
      </c>
      <c r="G61" t="inlineStr">
        <is>
          <t>LERUM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46282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46282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46282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46282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46282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46282</v>
      </c>
      <c r="F67" t="inlineStr">
        <is>
          <t>VÄSTRA GÖTALANDS LÄN</t>
        </is>
      </c>
      <c r="G67" t="inlineStr">
        <is>
          <t>LERUM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46282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46282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46282</v>
      </c>
      <c r="F70" t="inlineStr">
        <is>
          <t>VÄSTRA GÖTALANDS LÄN</t>
        </is>
      </c>
      <c r="G70" t="inlineStr">
        <is>
          <t>LERUM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46282</v>
      </c>
      <c r="F71" t="inlineStr">
        <is>
          <t>VÄSTRA GÖTALANDS LÄN</t>
        </is>
      </c>
      <c r="G71" t="inlineStr">
        <is>
          <t>LERUM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45350</v>
      </c>
      <c r="E72" s="1" t="n">
        <v>46282</v>
      </c>
      <c r="F72" t="inlineStr">
        <is>
          <t>VÄSTRA GÖTALANDS LÄN</t>
        </is>
      </c>
      <c r="G72" t="inlineStr">
        <is>
          <t>LERUM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11232-2025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45726</v>
      </c>
      <c r="E73" s="1" t="n">
        <v>46282</v>
      </c>
      <c r="F73" t="inlineStr">
        <is>
          <t>VÄSTRA GÖTALANDS LÄN</t>
        </is>
      </c>
      <c r="G73" t="inlineStr">
        <is>
          <t>LERUM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44721</v>
      </c>
      <c r="E74" s="1" t="n">
        <v>46282</v>
      </c>
      <c r="F74" t="inlineStr">
        <is>
          <t>VÄSTRA GÖTALANDS LÄN</t>
        </is>
      </c>
      <c r="G74" t="inlineStr">
        <is>
          <t>LERUM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46282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50405-2023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46282</v>
      </c>
      <c r="F76" t="inlineStr">
        <is>
          <t>VÄSTRA GÖTALANDS LÄN</t>
        </is>
      </c>
      <c r="G76" t="inlineStr">
        <is>
          <t>LERUM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46282</v>
      </c>
      <c r="F77" t="inlineStr">
        <is>
          <t>VÄSTRA GÖTALANDS LÄN</t>
        </is>
      </c>
      <c r="G77" t="inlineStr">
        <is>
          <t>LERUM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45975</v>
      </c>
      <c r="E78" s="1" t="n">
        <v>46282</v>
      </c>
      <c r="F78" t="inlineStr">
        <is>
          <t>VÄSTRA GÖTALANDS LÄN</t>
        </is>
      </c>
      <c r="G78" t="inlineStr">
        <is>
          <t>LERUM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45982</v>
      </c>
      <c r="E79" s="1" t="n">
        <v>46282</v>
      </c>
      <c r="F79" t="inlineStr">
        <is>
          <t>VÄSTRA GÖTALANDS LÄN</t>
        </is>
      </c>
      <c r="G79" t="inlineStr">
        <is>
          <t>LERUM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44828</v>
      </c>
      <c r="E80" s="1" t="n">
        <v>46282</v>
      </c>
      <c r="F80" t="inlineStr">
        <is>
          <t>VÄSTRA GÖTALANDS LÄN</t>
        </is>
      </c>
      <c r="G80" t="inlineStr">
        <is>
          <t>LERUM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46282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46282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46282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46282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46282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46282</v>
      </c>
      <c r="F86" t="inlineStr">
        <is>
          <t>VÄSTRA GÖTALANDS LÄN</t>
        </is>
      </c>
      <c r="G86" t="inlineStr">
        <is>
          <t>LERUM</t>
        </is>
      </c>
      <c r="I86" t="n">
        <v>6.9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46282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21133-2022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44704</v>
      </c>
      <c r="E88" s="1" t="n">
        <v>46282</v>
      </c>
      <c r="F88" t="inlineStr">
        <is>
          <t>VÄSTRA GÖTALANDS LÄN</t>
        </is>
      </c>
      <c r="G88" t="inlineStr">
        <is>
          <t>LERUM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45345</v>
      </c>
      <c r="E89" s="1" t="n">
        <v>46282</v>
      </c>
      <c r="F89" t="inlineStr">
        <is>
          <t>VÄSTRA GÖTALANDS LÄN</t>
        </is>
      </c>
      <c r="G89" t="inlineStr">
        <is>
          <t>LERUM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46132</v>
      </c>
      <c r="E90" s="1" t="n">
        <v>46282</v>
      </c>
      <c r="F90" t="inlineStr">
        <is>
          <t>VÄSTRA GÖTALANDS LÄN</t>
        </is>
      </c>
      <c r="G90" t="inlineStr">
        <is>
          <t>LERUM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45412</v>
      </c>
      <c r="E91" s="1" t="n">
        <v>46282</v>
      </c>
      <c r="F91" t="inlineStr">
        <is>
          <t>VÄSTRA GÖTALANDS LÄN</t>
        </is>
      </c>
      <c r="G91" t="inlineStr">
        <is>
          <t>LERUM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46282</v>
      </c>
      <c r="F92" t="inlineStr">
        <is>
          <t>VÄSTRA GÖTALANDS LÄN</t>
        </is>
      </c>
      <c r="G92" t="inlineStr">
        <is>
          <t>LERUM</t>
        </is>
      </c>
      <c r="I92" t="n">
        <v>23.3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46282</v>
      </c>
      <c r="F93" t="inlineStr">
        <is>
          <t>VÄSTRA GÖTALANDS LÄN</t>
        </is>
      </c>
      <c r="G93" t="inlineStr">
        <is>
          <t>LERUM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46282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45834</v>
      </c>
      <c r="E95" s="1" t="n">
        <v>46282</v>
      </c>
      <c r="F95" t="inlineStr">
        <is>
          <t>VÄSTRA GÖTALANDS LÄN</t>
        </is>
      </c>
      <c r="G95" t="inlineStr">
        <is>
          <t>LERUM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47944-2024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46282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45723</v>
      </c>
      <c r="E97" s="1" t="n">
        <v>46282</v>
      </c>
      <c r="F97" t="inlineStr">
        <is>
          <t>VÄSTRA GÖTALANDS LÄN</t>
        </is>
      </c>
      <c r="G97" t="inlineStr">
        <is>
          <t>LERUM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46282</v>
      </c>
      <c r="F98" t="inlineStr">
        <is>
          <t>VÄSTRA GÖTALANDS LÄN</t>
        </is>
      </c>
      <c r="G98" t="inlineStr">
        <is>
          <t>LERUM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46282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46282</v>
      </c>
      <c r="F100" t="inlineStr">
        <is>
          <t>VÄSTRA GÖTALANDS LÄN</t>
        </is>
      </c>
      <c r="G100" t="inlineStr">
        <is>
          <t>LERUM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45441</v>
      </c>
      <c r="E101" s="1" t="n">
        <v>46282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46282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46282</v>
      </c>
      <c r="F103" t="inlineStr">
        <is>
          <t>VÄSTRA GÖTALANDS LÄN</t>
        </is>
      </c>
      <c r="G103" t="inlineStr">
        <is>
          <t>LERUM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44959</v>
      </c>
      <c r="E104" s="1" t="n">
        <v>46282</v>
      </c>
      <c r="F104" t="inlineStr">
        <is>
          <t>VÄSTRA GÖTALANDS LÄN</t>
        </is>
      </c>
      <c r="G104" t="inlineStr">
        <is>
          <t>LERUM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46282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46282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46282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46282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46282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46282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16648-2023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46282</v>
      </c>
      <c r="F111" t="inlineStr">
        <is>
          <t>VÄSTRA GÖTALANDS LÄN</t>
        </is>
      </c>
      <c r="G111" t="inlineStr">
        <is>
          <t>LERUM</t>
        </is>
      </c>
      <c r="H111" t="inlineStr">
        <is>
          <t>Kyrkan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46282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46282</v>
      </c>
      <c r="F113" t="inlineStr">
        <is>
          <t>VÄSTRA GÖTALANDS LÄN</t>
        </is>
      </c>
      <c r="G113" t="inlineStr">
        <is>
          <t>LERUM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46282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46276</v>
      </c>
      <c r="E115" s="1" t="n">
        <v>46282</v>
      </c>
      <c r="F115" t="inlineStr">
        <is>
          <t>VÄSTRA GÖTALANDS LÄN</t>
        </is>
      </c>
      <c r="G115" t="inlineStr">
        <is>
          <t>LERUM</t>
        </is>
      </c>
      <c r="I115" t="n">
        <v>11.6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46282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46282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2026-09-17T01:58:28Z</dcterms:created>
  <dcterms:modified xmlns:dcterms="http://purl.org/dc/terms/" xmlns:xsi="http://www.w3.org/2001/XMLSchema-instance" xsi:type="dcterms:W3CDTF">2026-09-17T01:58:28Z</dcterms:modified>
</cp:coreProperties>
</file>