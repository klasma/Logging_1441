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46194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46194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46194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46194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46194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s="1" t="n">
        <v>45982</v>
      </c>
      <c r="C10" s="1" t="n">
        <v>46194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Igelkott
Kambräken</t>
        </is>
      </c>
      <c r="S10">
        <f>HYPERLINK("https://klasma.github.io/Logging_1441/artfynd/A 58073-2025 artfynd.xlsx", "A 58073-2025")</f>
        <v/>
      </c>
      <c r="T10">
        <f>HYPERLINK("https://klasma.github.io/Logging_1441/kartor/A 58073-2025 karta.png", "A 58073-2025")</f>
        <v/>
      </c>
      <c r="V10">
        <f>HYPERLINK("https://klasma.github.io/Logging_1441/klagomål/A 58073-2025 FSC-klagomål.docx", "A 58073-2025")</f>
        <v/>
      </c>
      <c r="W10">
        <f>HYPERLINK("https://klasma.github.io/Logging_1441/klagomålsmail/A 58073-2025 FSC-klagomål mail.docx", "A 58073-2025")</f>
        <v/>
      </c>
      <c r="X10">
        <f>HYPERLINK("https://klasma.github.io/Logging_1441/tillsyn/A 58073-2025 tillsynsbegäran.docx", "A 58073-2025")</f>
        <v/>
      </c>
      <c r="Y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46194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26568-2023</t>
        </is>
      </c>
      <c r="B13" s="1" t="n">
        <v>45092</v>
      </c>
      <c r="C13" s="1" t="n">
        <v>46194</v>
      </c>
      <c r="D13" t="inlineStr">
        <is>
          <t>VÄSTRA GÖTALANDS LÄN</t>
        </is>
      </c>
      <c r="E13" t="inlineStr">
        <is>
          <t>LERUM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jordtunga</t>
        </is>
      </c>
      <c r="S13">
        <f>HYPERLINK("https://klasma.github.io/Logging_1441/artfynd/A 26568-2023 artfynd.xlsx", "A 26568-2023")</f>
        <v/>
      </c>
      <c r="T13">
        <f>HYPERLINK("https://klasma.github.io/Logging_1441/kartor/A 26568-2023 karta.png", "A 26568-2023")</f>
        <v/>
      </c>
      <c r="V13">
        <f>HYPERLINK("https://klasma.github.io/Logging_1441/klagomål/A 26568-2023 FSC-klagomål.docx", "A 26568-2023")</f>
        <v/>
      </c>
      <c r="W13">
        <f>HYPERLINK("https://klasma.github.io/Logging_1441/klagomålsmail/A 26568-2023 FSC-klagomål mail.docx", "A 26568-2023")</f>
        <v/>
      </c>
      <c r="X13">
        <f>HYPERLINK("https://klasma.github.io/Logging_1441/tillsyn/A 26568-2023 tillsynsbegäran.docx", "A 26568-2023")</f>
        <v/>
      </c>
      <c r="Y13">
        <f>HYPERLINK("https://klasma.github.io/Logging_1441/tillsynsmail/A 26568-2023 tillsynsbegäran mail.docx", "A 26568-2023")</f>
        <v/>
      </c>
    </row>
    <row r="14" ht="15" customHeight="1">
      <c r="A14" t="inlineStr">
        <is>
          <t>A 20570-2023</t>
        </is>
      </c>
      <c r="B14" s="1" t="n">
        <v>45057</v>
      </c>
      <c r="C14" s="1" t="n">
        <v>46194</v>
      </c>
      <c r="D14" t="inlineStr">
        <is>
          <t>VÄSTRA GÖTALANDS LÄN</t>
        </is>
      </c>
      <c r="E14" t="inlineStr">
        <is>
          <t>LERUM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HYPERLINK("https://klasma.github.io/Logging_1441/artfynd/A 20570-2023 artfynd.xlsx", "A 20570-2023")</f>
        <v/>
      </c>
      <c r="T14">
        <f>HYPERLINK("https://klasma.github.io/Logging_1441/kartor/A 20570-2023 karta.png", "A 20570-2023")</f>
        <v/>
      </c>
      <c r="V14">
        <f>HYPERLINK("https://klasma.github.io/Logging_1441/klagomål/A 20570-2023 FSC-klagomål.docx", "A 20570-2023")</f>
        <v/>
      </c>
      <c r="W14">
        <f>HYPERLINK("https://klasma.github.io/Logging_1441/klagomålsmail/A 20570-2023 FSC-klagomål mail.docx", "A 20570-2023")</f>
        <v/>
      </c>
      <c r="X14">
        <f>HYPERLINK("https://klasma.github.io/Logging_1441/tillsyn/A 20570-2023 tillsynsbegäran.docx", "A 20570-2023")</f>
        <v/>
      </c>
      <c r="Y14">
        <f>HYPERLINK("https://klasma.github.io/Logging_1441/tillsynsmail/A 20570-2023 tillsynsbegäran mail.docx", "A 20570-2023")</f>
        <v/>
      </c>
    </row>
    <row r="15" ht="15" customHeight="1">
      <c r="A15" t="inlineStr">
        <is>
          <t>A 57154-2022</t>
        </is>
      </c>
      <c r="B15" s="1" t="n">
        <v>44895</v>
      </c>
      <c r="C15" s="1" t="n">
        <v>46194</v>
      </c>
      <c r="D15" t="inlineStr">
        <is>
          <t>VÄSTRA GÖTALANDS LÄN</t>
        </is>
      </c>
      <c r="E15" t="inlineStr">
        <is>
          <t>LERUM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HYPERLINK("https://klasma.github.io/Logging_1441/artfynd/A 57154-2022 artfynd.xlsx", "A 57154-2022")</f>
        <v/>
      </c>
      <c r="T15">
        <f>HYPERLINK("https://klasma.github.io/Logging_1441/kartor/A 57154-2022 karta.png", "A 57154-2022")</f>
        <v/>
      </c>
      <c r="V15">
        <f>HYPERLINK("https://klasma.github.io/Logging_1441/klagomål/A 57154-2022 FSC-klagomål.docx", "A 57154-2022")</f>
        <v/>
      </c>
      <c r="W15">
        <f>HYPERLINK("https://klasma.github.io/Logging_1441/klagomålsmail/A 57154-2022 FSC-klagomål mail.docx", "A 57154-2022")</f>
        <v/>
      </c>
      <c r="X15">
        <f>HYPERLINK("https://klasma.github.io/Logging_1441/tillsyn/A 57154-2022 tillsynsbegäran.docx", "A 57154-2022")</f>
        <v/>
      </c>
      <c r="Y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46194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46194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s="1" t="n">
        <v>46008</v>
      </c>
      <c r="C18" s="1" t="n">
        <v>46194</v>
      </c>
      <c r="D18" t="inlineStr">
        <is>
          <t>VÄSTRA GÖTALANDS LÄN</t>
        </is>
      </c>
      <c r="E18" t="inlineStr">
        <is>
          <t>LERUM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HYPERLINK("https://klasma.github.io/Logging_1441/artfynd/A 62755-2025 artfynd.xlsx", "A 62755-2025")</f>
        <v/>
      </c>
      <c r="T18">
        <f>HYPERLINK("https://klasma.github.io/Logging_1441/kartor/A 62755-2025 karta.png", "A 62755-2025")</f>
        <v/>
      </c>
      <c r="V18">
        <f>HYPERLINK("https://klasma.github.io/Logging_1441/klagomål/A 62755-2025 FSC-klagomål.docx", "A 62755-2025")</f>
        <v/>
      </c>
      <c r="W18">
        <f>HYPERLINK("https://klasma.github.io/Logging_1441/klagomålsmail/A 62755-2025 FSC-klagomål mail.docx", "A 62755-2025")</f>
        <v/>
      </c>
      <c r="X18">
        <f>HYPERLINK("https://klasma.github.io/Logging_1441/tillsyn/A 62755-2025 tillsynsbegäran.docx", "A 62755-2025")</f>
        <v/>
      </c>
      <c r="Y18">
        <f>HYPERLINK("https://klasma.github.io/Logging_1441/tillsynsmail/A 62755-2025 tillsynsbegäran mail.docx", "A 62755-2025")</f>
        <v/>
      </c>
    </row>
    <row r="19" ht="15" customHeight="1">
      <c r="A19" t="inlineStr">
        <is>
          <t>A 10410-2022</t>
        </is>
      </c>
      <c r="B19" s="1" t="n">
        <v>44623</v>
      </c>
      <c r="C19" s="1" t="n">
        <v>46194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HYPERLINK("https://klasma.github.io/Logging_1441/artfynd/A 10410-2022 artfynd.xlsx", "A 10410-2022")</f>
        <v/>
      </c>
      <c r="T19">
        <f>HYPERLINK("https://klasma.github.io/Logging_1441/kartor/A 10410-2022 karta.png", "A 10410-2022")</f>
        <v/>
      </c>
      <c r="V19">
        <f>HYPERLINK("https://klasma.github.io/Logging_1441/klagomål/A 10410-2022 FSC-klagomål.docx", "A 10410-2022")</f>
        <v/>
      </c>
      <c r="W19">
        <f>HYPERLINK("https://klasma.github.io/Logging_1441/klagomålsmail/A 10410-2022 FSC-klagomål mail.docx", "A 10410-2022")</f>
        <v/>
      </c>
      <c r="X19">
        <f>HYPERLINK("https://klasma.github.io/Logging_1441/tillsyn/A 10410-2022 tillsynsbegäran.docx", "A 10410-2022")</f>
        <v/>
      </c>
      <c r="Y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46194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46194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46194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46194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46194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46194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46194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46194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46194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46194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46194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46194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46194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46194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20680-2022</t>
        </is>
      </c>
      <c r="B35" s="1" t="n">
        <v>44700</v>
      </c>
      <c r="C35" s="1" t="n">
        <v>46194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28157-2022</t>
        </is>
      </c>
      <c r="B36" s="1" t="n">
        <v>44746</v>
      </c>
      <c r="C36" s="1" t="n">
        <v>46194</v>
      </c>
      <c r="D36" t="inlineStr">
        <is>
          <t>VÄSTRA GÖTALANDS LÄN</t>
        </is>
      </c>
      <c r="E36" t="inlineStr">
        <is>
          <t>LERUM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28118-2024</t>
        </is>
      </c>
      <c r="B37" s="1" t="n">
        <v>45476</v>
      </c>
      <c r="C37" s="1" t="n">
        <v>46194</v>
      </c>
      <c r="D37" t="inlineStr">
        <is>
          <t>VÄSTRA GÖTALANDS LÄN</t>
        </is>
      </c>
      <c r="E37" t="inlineStr">
        <is>
          <t>LERUM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28139-2024</t>
        </is>
      </c>
      <c r="B38" s="1" t="n">
        <v>45476</v>
      </c>
      <c r="C38" s="1" t="n">
        <v>46194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46194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</v>
      </c>
      <c r="C40" s="1" t="n">
        <v>46194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</v>
      </c>
      <c r="C41" s="1" t="n">
        <v>46194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28103-2022</t>
        </is>
      </c>
      <c r="B42" s="1" t="n">
        <v>44746</v>
      </c>
      <c r="C42" s="1" t="n">
        <v>46194</v>
      </c>
      <c r="D42" t="inlineStr">
        <is>
          <t>VÄSTRA GÖTALANDS LÄN</t>
        </is>
      </c>
      <c r="E42" t="inlineStr">
        <is>
          <t>LERUM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46194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46194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46194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5359-2023</t>
        </is>
      </c>
      <c r="B46" s="1" t="n">
        <v>44959</v>
      </c>
      <c r="C46" s="1" t="n">
        <v>46194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47866-2024</t>
        </is>
      </c>
      <c r="B47" s="1" t="n">
        <v>45588</v>
      </c>
      <c r="C47" s="1" t="n">
        <v>46194</v>
      </c>
      <c r="D47" t="inlineStr">
        <is>
          <t>VÄSTRA GÖTALANDS LÄN</t>
        </is>
      </c>
      <c r="E47" t="inlineStr">
        <is>
          <t>LERUM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46194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</v>
      </c>
      <c r="C49" s="1" t="n">
        <v>46194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41836-2022</t>
        </is>
      </c>
      <c r="B50" s="1" t="n">
        <v>44828</v>
      </c>
      <c r="C50" s="1" t="n">
        <v>46194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40709-2023</t>
        </is>
      </c>
      <c r="B51" s="1" t="n">
        <v>45170</v>
      </c>
      <c r="C51" s="1" t="n">
        <v>46194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42526-2024</t>
        </is>
      </c>
      <c r="B52" s="1" t="n">
        <v>45565</v>
      </c>
      <c r="C52" s="1" t="n">
        <v>46194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38739-2025</t>
        </is>
      </c>
      <c r="B53" s="1" t="n">
        <v>45887</v>
      </c>
      <c r="C53" s="1" t="n">
        <v>46194</v>
      </c>
      <c r="D53" t="inlineStr">
        <is>
          <t>VÄSTRA GÖTALANDS LÄN</t>
        </is>
      </c>
      <c r="E53" t="inlineStr">
        <is>
          <t>LERUM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38743-2025</t>
        </is>
      </c>
      <c r="B54" s="1" t="n">
        <v>45887</v>
      </c>
      <c r="C54" s="1" t="n">
        <v>46194</v>
      </c>
      <c r="D54" t="inlineStr">
        <is>
          <t>VÄSTRA GÖTALANDS LÄN</t>
        </is>
      </c>
      <c r="E54" t="inlineStr">
        <is>
          <t>LERUM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790-2024</t>
        </is>
      </c>
      <c r="B55" s="1" t="n">
        <v>45300</v>
      </c>
      <c r="C55" s="1" t="n">
        <v>46194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16648-2023</t>
        </is>
      </c>
      <c r="B56" s="1" t="n">
        <v>45028</v>
      </c>
      <c r="C56" s="1" t="n">
        <v>46194</v>
      </c>
      <c r="D56" t="inlineStr">
        <is>
          <t>VÄSTRA GÖTALANDS LÄN</t>
        </is>
      </c>
      <c r="E56" t="inlineStr">
        <is>
          <t>LERUM</t>
        </is>
      </c>
      <c r="F56" t="inlineStr">
        <is>
          <t>Kyrkan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13156-2024</t>
        </is>
      </c>
      <c r="B57" s="1" t="n">
        <v>45386</v>
      </c>
      <c r="C57" s="1" t="n">
        <v>46194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40848-2025</t>
        </is>
      </c>
      <c r="B58" s="1" t="n">
        <v>45897</v>
      </c>
      <c r="C58" s="1" t="n">
        <v>46194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</v>
      </c>
      <c r="C59" s="1" t="n">
        <v>46194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</v>
      </c>
      <c r="C60" s="1" t="n">
        <v>46194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</v>
      </c>
      <c r="C61" s="1" t="n">
        <v>46194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</v>
      </c>
      <c r="C62" s="1" t="n">
        <v>46194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28029-2025</t>
        </is>
      </c>
      <c r="B63" s="1" t="n">
        <v>45817</v>
      </c>
      <c r="C63" s="1" t="n">
        <v>46194</v>
      </c>
      <c r="D63" t="inlineStr">
        <is>
          <t>VÄSTRA GÖTALANDS LÄN</t>
        </is>
      </c>
      <c r="E63" t="inlineStr">
        <is>
          <t>LERUM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47944-2024</t>
        </is>
      </c>
      <c r="B64" s="1" t="n">
        <v>45589</v>
      </c>
      <c r="C64" s="1" t="n">
        <v>46194</v>
      </c>
      <c r="D64" t="inlineStr">
        <is>
          <t>VÄSTRA GÖTALANDS LÄN</t>
        </is>
      </c>
      <c r="E64" t="inlineStr">
        <is>
          <t>LERUM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</v>
      </c>
      <c r="C65" s="1" t="n">
        <v>46194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46194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</v>
      </c>
      <c r="C67" s="1" t="n">
        <v>46194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46194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</v>
      </c>
      <c r="C69" s="1" t="n">
        <v>46194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46194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</v>
      </c>
      <c r="C71" s="1" t="n">
        <v>46194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46194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46194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</v>
      </c>
      <c r="C74" s="1" t="n">
        <v>46194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46194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</v>
      </c>
      <c r="C76" s="1" t="n">
        <v>46194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</v>
      </c>
      <c r="C77" s="1" t="n">
        <v>46194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46194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37441-2022</t>
        </is>
      </c>
      <c r="B79" s="1" t="n">
        <v>44809</v>
      </c>
      <c r="C79" s="1" t="n">
        <v>46194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36415-2023</t>
        </is>
      </c>
      <c r="B80" s="1" t="n">
        <v>45152</v>
      </c>
      <c r="C80" s="1" t="n">
        <v>46194</v>
      </c>
      <c r="D80" t="inlineStr">
        <is>
          <t>VÄSTRA GÖTALANDS LÄN</t>
        </is>
      </c>
      <c r="E80" t="inlineStr">
        <is>
          <t>LERUM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26073-2025</t>
        </is>
      </c>
      <c r="B81" s="1" t="n">
        <v>45805</v>
      </c>
      <c r="C81" s="1" t="n">
        <v>46194</v>
      </c>
      <c r="D81" t="inlineStr">
        <is>
          <t>VÄSTRA GÖTALANDS LÄN</t>
        </is>
      </c>
      <c r="E81" t="inlineStr">
        <is>
          <t>LERUM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14067-2024</t>
        </is>
      </c>
      <c r="B82" s="1" t="n">
        <v>45392</v>
      </c>
      <c r="C82" s="1" t="n">
        <v>46194</v>
      </c>
      <c r="D82" t="inlineStr">
        <is>
          <t>VÄSTRA GÖTALANDS LÄN</t>
        </is>
      </c>
      <c r="E82" t="inlineStr">
        <is>
          <t>LERUM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</v>
      </c>
      <c r="C83" s="1" t="n">
        <v>46194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</v>
      </c>
      <c r="C84" s="1" t="n">
        <v>46194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28053-2025</t>
        </is>
      </c>
      <c r="B85" s="1" t="n">
        <v>45817</v>
      </c>
      <c r="C85" s="1" t="n">
        <v>46194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55429-2025</t>
        </is>
      </c>
      <c r="B86" s="1" t="n">
        <v>45971</v>
      </c>
      <c r="C86" s="1" t="n">
        <v>46194</v>
      </c>
      <c r="D86" t="inlineStr">
        <is>
          <t>VÄSTRA GÖTALANDS LÄN</t>
        </is>
      </c>
      <c r="E86" t="inlineStr">
        <is>
          <t>LERUM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46194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</v>
      </c>
      <c r="C88" s="1" t="n">
        <v>46194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32095-2025</t>
        </is>
      </c>
      <c r="B89" s="1" t="n">
        <v>45835</v>
      </c>
      <c r="C89" s="1" t="n">
        <v>46194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32093-2025</t>
        </is>
      </c>
      <c r="B90" s="1" t="n">
        <v>45835</v>
      </c>
      <c r="C90" s="1" t="n">
        <v>46194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</v>
      </c>
      <c r="C91" s="1" t="n">
        <v>46194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</v>
      </c>
      <c r="C92" s="1" t="n">
        <v>46194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</v>
      </c>
      <c r="C93" s="1" t="n">
        <v>46194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61762-2025</t>
        </is>
      </c>
      <c r="B94" s="1" t="n">
        <v>46002</v>
      </c>
      <c r="C94" s="1" t="n">
        <v>46194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62769-2025</t>
        </is>
      </c>
      <c r="B95" s="1" t="n">
        <v>46008</v>
      </c>
      <c r="C95" s="1" t="n">
        <v>46194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62774-2025</t>
        </is>
      </c>
      <c r="B96" s="1" t="n">
        <v>46008</v>
      </c>
      <c r="C96" s="1" t="n">
        <v>46194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</v>
      </c>
      <c r="C97" s="1" t="n">
        <v>46194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4883-2024</t>
        </is>
      </c>
      <c r="B98" s="1" t="n">
        <v>45329</v>
      </c>
      <c r="C98" s="1" t="n">
        <v>46194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20210-2023</t>
        </is>
      </c>
      <c r="B99" s="1" t="n">
        <v>45055</v>
      </c>
      <c r="C99" s="1" t="n">
        <v>46194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50420-2023</t>
        </is>
      </c>
      <c r="B100" s="1" t="n">
        <v>45216</v>
      </c>
      <c r="C100" s="1" t="n">
        <v>46194</v>
      </c>
      <c r="D100" t="inlineStr">
        <is>
          <t>VÄSTRA GÖTALANDS LÄN</t>
        </is>
      </c>
      <c r="E100" t="inlineStr">
        <is>
          <t>LERUM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2420-2026</t>
        </is>
      </c>
      <c r="B101" s="1" t="n">
        <v>46034</v>
      </c>
      <c r="C101" s="1" t="n">
        <v>46194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</v>
      </c>
      <c r="C102" s="1" t="n">
        <v>46194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2335-2026</t>
        </is>
      </c>
      <c r="B103" s="1" t="n">
        <v>46036</v>
      </c>
      <c r="C103" s="1" t="n">
        <v>46194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21836-2022</t>
        </is>
      </c>
      <c r="B104" s="1" t="n">
        <v>44710</v>
      </c>
      <c r="C104" s="1" t="n">
        <v>46194</v>
      </c>
      <c r="D104" t="inlineStr">
        <is>
          <t>VÄSTRA GÖTALANDS LÄN</t>
        </is>
      </c>
      <c r="E104" t="inlineStr">
        <is>
          <t>LERUM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46194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46194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46194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</v>
      </c>
      <c r="C108" s="1" t="n">
        <v>46194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24163-2024</t>
        </is>
      </c>
      <c r="B109" s="1" t="n">
        <v>45441</v>
      </c>
      <c r="C109" s="1" t="n">
        <v>46194</v>
      </c>
      <c r="D109" t="inlineStr">
        <is>
          <t>VÄSTRA GÖTALANDS LÄN</t>
        </is>
      </c>
      <c r="E109" t="inlineStr">
        <is>
          <t>LERUM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21133-2022</t>
        </is>
      </c>
      <c r="B110" s="1" t="n">
        <v>44704</v>
      </c>
      <c r="C110" s="1" t="n">
        <v>46194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19238-2026</t>
        </is>
      </c>
      <c r="B111" s="1" t="n">
        <v>46132</v>
      </c>
      <c r="C111" s="1" t="n">
        <v>46194</v>
      </c>
      <c r="D111" t="inlineStr">
        <is>
          <t>VÄSTRA GÖTALANDS LÄN</t>
        </is>
      </c>
      <c r="E111" t="inlineStr">
        <is>
          <t>LERUM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11124-2025</t>
        </is>
      </c>
      <c r="B112" s="1" t="n">
        <v>45723</v>
      </c>
      <c r="C112" s="1" t="n">
        <v>46194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22300-2022</t>
        </is>
      </c>
      <c r="B113" s="1" t="n">
        <v>44712</v>
      </c>
      <c r="C113" s="1" t="n">
        <v>46194</v>
      </c>
      <c r="D113" t="inlineStr">
        <is>
          <t>VÄSTRA GÖTALANDS LÄN</t>
        </is>
      </c>
      <c r="E113" t="inlineStr">
        <is>
          <t>LERUM</t>
        </is>
      </c>
      <c r="G113" t="n">
        <v>23.3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44780-2025</t>
        </is>
      </c>
      <c r="B114" s="1" t="n">
        <v>45917</v>
      </c>
      <c r="C114" s="1" t="n">
        <v>46194</v>
      </c>
      <c r="D114" t="inlineStr">
        <is>
          <t>VÄSTRA GÖTALANDS LÄN</t>
        </is>
      </c>
      <c r="E114" t="inlineStr">
        <is>
          <t>LERUM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31687-2025</t>
        </is>
      </c>
      <c r="B115" s="1" t="n">
        <v>45834</v>
      </c>
      <c r="C115" s="1" t="n">
        <v>46194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2026-06-21T00:44:16Z</dcterms:created>
  <dcterms:modified xmlns:dcterms="http://purl.org/dc/terms/" xmlns:xsi="http://www.w3.org/2001/XMLSchema-instance" xsi:type="dcterms:W3CDTF">2026-06-21T00:44:16Z</dcterms:modified>
</cp:coreProperties>
</file>