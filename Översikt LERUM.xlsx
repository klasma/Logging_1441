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46289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46289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46289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46289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46289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46289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20570-2023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45057</v>
      </c>
      <c r="E14" s="1" t="n">
        <v>46289</v>
      </c>
      <c r="F14" t="inlineStr">
        <is>
          <t>VÄSTRA GÖTALANDS LÄN</t>
        </is>
      </c>
      <c r="G14" t="inlineStr">
        <is>
          <t>LERUM</t>
        </is>
      </c>
      <c r="I14" t="n">
        <v>5.6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Vedticka</t>
        </is>
      </c>
      <c r="W14">
        <f>HYPERLINK("https://klasma.github.io/Logging_1441/artfynd/A 20570-2023 artfynd.xlsx", "A 20570-2023")</f>
        <v/>
      </c>
      <c r="X14">
        <f>HYPERLINK("https://klasma.github.io/Logging_1441/kartor/A 20570-2023 karta.png", "A 20570-2023")</f>
        <v/>
      </c>
      <c r="Y14">
        <f>HYPERLINK("https://klasma.github.io/Logging_1441/kartor_geotiff/A 20570-2023 georefererad karta.tif", "A 20570-2023")</f>
        <v/>
      </c>
      <c r="AA14">
        <f>HYPERLINK("https://klasma.github.io/Logging_1441/klagomål/A 20570-2023 FSC-klagomål.docx", "A 20570-2023")</f>
        <v/>
      </c>
      <c r="AB14">
        <f>HYPERLINK("https://klasma.github.io/Logging_1441/klagomålsmail/A 20570-2023 FSC-klagomål mail.docx", "A 20570-2023")</f>
        <v/>
      </c>
      <c r="AC14">
        <f>HYPERLINK("https://klasma.github.io/Logging_1441/tillsyn/A 20570-2023 tillsynsbegäran.docx", "A 20570-2023")</f>
        <v/>
      </c>
      <c r="AD14">
        <f>HYPERLINK("https://klasma.github.io/Logging_1441/tillsynsmail/A 20570-2023 tillsynsbegäran mail.docx", "A 20570-2023")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46289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46289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46289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46289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46289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46289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46289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46289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46289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46289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46289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46289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46289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46289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46289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46289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46289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46289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46289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17071-2024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45412</v>
      </c>
      <c r="E35" s="1" t="n">
        <v>46289</v>
      </c>
      <c r="F35" t="inlineStr">
        <is>
          <t>VÄSTRA GÖTALANDS LÄN</t>
        </is>
      </c>
      <c r="G35" t="inlineStr">
        <is>
          <t>LERUM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46289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45345</v>
      </c>
      <c r="E37" s="1" t="n">
        <v>46289</v>
      </c>
      <c r="F37" t="inlineStr">
        <is>
          <t>VÄSTRA GÖTALANDS LÄN</t>
        </is>
      </c>
      <c r="G37" t="inlineStr">
        <is>
          <t>LERUM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50622-2023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46289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46289</v>
      </c>
      <c r="F39" t="inlineStr">
        <is>
          <t>VÄSTRA GÖTALANDS LÄN</t>
        </is>
      </c>
      <c r="G39" t="inlineStr">
        <is>
          <t>LERUM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46289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44809</v>
      </c>
      <c r="E41" s="1" t="n">
        <v>46289</v>
      </c>
      <c r="F41" t="inlineStr">
        <is>
          <t>VÄSTRA GÖTALANDS LÄN</t>
        </is>
      </c>
      <c r="G41" t="inlineStr">
        <is>
          <t>LERUM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46289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46289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46289</v>
      </c>
      <c r="F44" t="inlineStr">
        <is>
          <t>VÄSTRA GÖTALANDS LÄN</t>
        </is>
      </c>
      <c r="G44" t="inlineStr">
        <is>
          <t>LERUM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45392</v>
      </c>
      <c r="E45" s="1" t="n">
        <v>46289</v>
      </c>
      <c r="F45" t="inlineStr">
        <is>
          <t>VÄSTRA GÖTALANDS LÄN</t>
        </is>
      </c>
      <c r="G45" t="inlineStr">
        <is>
          <t>LERUM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46289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45587</v>
      </c>
      <c r="E47" s="1" t="n">
        <v>46289</v>
      </c>
      <c r="F47" t="inlineStr">
        <is>
          <t>VÄSTRA GÖTALANDS LÄN</t>
        </is>
      </c>
      <c r="G47" t="inlineStr">
        <is>
          <t>LERUM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45350</v>
      </c>
      <c r="E48" s="1" t="n">
        <v>46289</v>
      </c>
      <c r="F48" t="inlineStr">
        <is>
          <t>VÄSTRA GÖTALANDS LÄN</t>
        </is>
      </c>
      <c r="G48" t="inlineStr">
        <is>
          <t>LERUM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46289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46289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46289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46289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46289</v>
      </c>
      <c r="F53" t="inlineStr">
        <is>
          <t>VÄSTRA GÖTALANDS LÄN</t>
        </is>
      </c>
      <c r="G53" t="inlineStr">
        <is>
          <t>LERUM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46289</v>
      </c>
      <c r="F54" t="inlineStr">
        <is>
          <t>VÄSTRA GÖTALANDS LÄN</t>
        </is>
      </c>
      <c r="G54" t="inlineStr">
        <is>
          <t>LERUM</t>
        </is>
      </c>
      <c r="I54" t="n">
        <v>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46289</v>
      </c>
      <c r="F55" t="inlineStr">
        <is>
          <t>VÄSTRA GÖTALANDS LÄN</t>
        </is>
      </c>
      <c r="G55" t="inlineStr">
        <is>
          <t>LERUM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46289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46289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46289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46289</v>
      </c>
      <c r="F59" t="inlineStr">
        <is>
          <t>VÄSTRA GÖTALANDS LÄN</t>
        </is>
      </c>
      <c r="G59" t="inlineStr">
        <is>
          <t>LERUM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46289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27367-2025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45812</v>
      </c>
      <c r="E61" s="1" t="n">
        <v>46289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46289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46289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46289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46289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46289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46289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46289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46289</v>
      </c>
      <c r="F69" t="inlineStr">
        <is>
          <t>VÄSTRA GÖTALANDS LÄN</t>
        </is>
      </c>
      <c r="G69" t="inlineStr">
        <is>
          <t>LERUM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39113-2024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46289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35199-2023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45145</v>
      </c>
      <c r="E71" s="1" t="n">
        <v>46289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45055</v>
      </c>
      <c r="E72" s="1" t="n">
        <v>46289</v>
      </c>
      <c r="F72" t="inlineStr">
        <is>
          <t>VÄSTRA GÖTALANDS LÄN</t>
        </is>
      </c>
      <c r="G72" t="inlineStr">
        <is>
          <t>LERUM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55429-2025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45971</v>
      </c>
      <c r="E73" s="1" t="n">
        <v>46289</v>
      </c>
      <c r="F73" t="inlineStr">
        <is>
          <t>VÄSTRA GÖTALANDS LÄN</t>
        </is>
      </c>
      <c r="G73" t="inlineStr">
        <is>
          <t>LERUM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45565</v>
      </c>
      <c r="E74" s="1" t="n">
        <v>46289</v>
      </c>
      <c r="F74" t="inlineStr">
        <is>
          <t>VÄSTRA GÖTALANDS LÄN</t>
        </is>
      </c>
      <c r="G74" t="inlineStr">
        <is>
          <t>LERUM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46289</v>
      </c>
      <c r="F75" t="inlineStr">
        <is>
          <t>VÄSTRA GÖTALANDS LÄN</t>
        </is>
      </c>
      <c r="G75" t="inlineStr">
        <is>
          <t>LERUM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46289</v>
      </c>
      <c r="F76" t="inlineStr">
        <is>
          <t>VÄSTRA GÖTALANDS LÄN</t>
        </is>
      </c>
      <c r="G76" t="inlineStr">
        <is>
          <t>LERUM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46289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13156-2024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45386</v>
      </c>
      <c r="E78" s="1" t="n">
        <v>46289</v>
      </c>
      <c r="F78" t="inlineStr">
        <is>
          <t>VÄSTRA GÖTALANDS LÄN</t>
        </is>
      </c>
      <c r="G78" t="inlineStr">
        <is>
          <t>LERUM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44710</v>
      </c>
      <c r="E79" s="1" t="n">
        <v>46289</v>
      </c>
      <c r="F79" t="inlineStr">
        <is>
          <t>VÄSTRA GÖTALANDS LÄN</t>
        </is>
      </c>
      <c r="G79" t="inlineStr">
        <is>
          <t>LERUM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46289</v>
      </c>
      <c r="F80" t="inlineStr">
        <is>
          <t>VÄSTRA GÖTALANDS LÄN</t>
        </is>
      </c>
      <c r="G80" t="inlineStr">
        <is>
          <t>LERUM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46289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46289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46034</v>
      </c>
      <c r="E83" s="1" t="n">
        <v>46289</v>
      </c>
      <c r="F83" t="inlineStr">
        <is>
          <t>VÄSTRA GÖTALANDS LÄN</t>
        </is>
      </c>
      <c r="G83" t="inlineStr">
        <is>
          <t>LERUM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46289</v>
      </c>
      <c r="F84" t="inlineStr">
        <is>
          <t>VÄSTRA GÖTALANDS LÄN</t>
        </is>
      </c>
      <c r="G84" t="inlineStr">
        <is>
          <t>LERUM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46289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46289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46289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32095-2025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45835</v>
      </c>
      <c r="E88" s="1" t="n">
        <v>46289</v>
      </c>
      <c r="F88" t="inlineStr">
        <is>
          <t>VÄSTRA GÖTALANDS LÄN</t>
        </is>
      </c>
      <c r="G88" t="inlineStr">
        <is>
          <t>LERUM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46289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46289</v>
      </c>
      <c r="F90" t="inlineStr">
        <is>
          <t>VÄSTRA GÖTALANDS LÄN</t>
        </is>
      </c>
      <c r="G90" t="inlineStr">
        <is>
          <t>LERUM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45726</v>
      </c>
      <c r="E91" s="1" t="n">
        <v>46289</v>
      </c>
      <c r="F91" t="inlineStr">
        <is>
          <t>VÄSTRA GÖTALANDS LÄN</t>
        </is>
      </c>
      <c r="G91" t="inlineStr">
        <is>
          <t>LERUM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45441</v>
      </c>
      <c r="E92" s="1" t="n">
        <v>46289</v>
      </c>
      <c r="F92" t="inlineStr">
        <is>
          <t>VÄSTRA GÖTALANDS LÄN</t>
        </is>
      </c>
      <c r="G92" t="inlineStr">
        <is>
          <t>LERUM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33070-2026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46289</v>
      </c>
      <c r="F93" t="inlineStr">
        <is>
          <t>VÄSTRA GÖTALANDS LÄN</t>
        </is>
      </c>
      <c r="G93" t="inlineStr">
        <is>
          <t>LERUM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46289</v>
      </c>
      <c r="F94" t="inlineStr">
        <is>
          <t>VÄSTRA GÖTALANDS LÄN</t>
        </is>
      </c>
      <c r="G94" t="inlineStr">
        <is>
          <t>LERUM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46289</v>
      </c>
      <c r="F95" t="inlineStr">
        <is>
          <t>VÄSTRA GÖTALANDS LÄN</t>
        </is>
      </c>
      <c r="G95" t="inlineStr">
        <is>
          <t>LERUM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21133-2022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44704</v>
      </c>
      <c r="E96" s="1" t="n">
        <v>46289</v>
      </c>
      <c r="F96" t="inlineStr">
        <is>
          <t>VÄSTRA GÖTALANDS LÄN</t>
        </is>
      </c>
      <c r="G96" t="inlineStr">
        <is>
          <t>LERUM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19238-2026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46289</v>
      </c>
      <c r="F97" t="inlineStr">
        <is>
          <t>VÄSTRA GÖTALANDS LÄN</t>
        </is>
      </c>
      <c r="G97" t="inlineStr">
        <is>
          <t>LERUM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44959</v>
      </c>
      <c r="E98" s="1" t="n">
        <v>46289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46289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45588</v>
      </c>
      <c r="E100" s="1" t="n">
        <v>46289</v>
      </c>
      <c r="F100" t="inlineStr">
        <is>
          <t>VÄSTRA GÖTALANDS LÄN</t>
        </is>
      </c>
      <c r="G100" t="inlineStr">
        <is>
          <t>LERUM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46289</v>
      </c>
      <c r="F101" t="inlineStr">
        <is>
          <t>VÄSTRA GÖTALANDS LÄN</t>
        </is>
      </c>
      <c r="G101" t="inlineStr">
        <is>
          <t>LERUM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46289</v>
      </c>
      <c r="F102" t="inlineStr">
        <is>
          <t>VÄSTRA GÖTALANDS LÄN</t>
        </is>
      </c>
      <c r="G102" t="inlineStr">
        <is>
          <t>LERUM</t>
        </is>
      </c>
      <c r="I102" t="n">
        <v>23.3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46289</v>
      </c>
      <c r="F103" t="inlineStr">
        <is>
          <t>VÄSTRA GÖTALANDS LÄN</t>
        </is>
      </c>
      <c r="G103" t="inlineStr">
        <is>
          <t>LERUM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45300</v>
      </c>
      <c r="E104" s="1" t="n">
        <v>46289</v>
      </c>
      <c r="F104" t="inlineStr">
        <is>
          <t>VÄSTRA GÖTALANDS LÄN</t>
        </is>
      </c>
      <c r="G104" t="inlineStr">
        <is>
          <t>LERUM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46289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46289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46289</v>
      </c>
      <c r="F107" t="inlineStr">
        <is>
          <t>VÄSTRA GÖTALANDS LÄN</t>
        </is>
      </c>
      <c r="G107" t="inlineStr">
        <is>
          <t>LERUM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46289</v>
      </c>
      <c r="F108" t="inlineStr">
        <is>
          <t>VÄSTRA GÖTALANDS LÄN</t>
        </is>
      </c>
      <c r="G108" t="inlineStr">
        <is>
          <t>LERUM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46289</v>
      </c>
      <c r="F109" t="inlineStr">
        <is>
          <t>VÄSTRA GÖTALANDS LÄN</t>
        </is>
      </c>
      <c r="G109" t="inlineStr">
        <is>
          <t>LERUM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46289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46276</v>
      </c>
      <c r="E111" s="1" t="n">
        <v>46289</v>
      </c>
      <c r="F111" t="inlineStr">
        <is>
          <t>VÄSTRA GÖTALANDS LÄN</t>
        </is>
      </c>
      <c r="G111" t="inlineStr">
        <is>
          <t>LERUM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46289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46289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2026-09-24T01:54:17Z</dcterms:created>
  <dcterms:modified xmlns:dcterms="http://purl.org/dc/terms/" xmlns:xsi="http://www.w3.org/2001/XMLSchema-instance" xsi:type="dcterms:W3CDTF">2026-09-24T01:54:17Z</dcterms:modified>
</cp:coreProperties>
</file>