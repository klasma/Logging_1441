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46229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46229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46229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46229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46229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46229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46229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46229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46229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46229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46229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46229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46229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46229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46229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46229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46229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46229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26568-2023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45092</v>
      </c>
      <c r="E20" s="1" t="n">
        <v>46229</v>
      </c>
      <c r="F20" t="inlineStr">
        <is>
          <t>VÄSTRA GÖTALANDS LÄN</t>
        </is>
      </c>
      <c r="G20" t="inlineStr">
        <is>
          <t>LERUM</t>
        </is>
      </c>
      <c r="I20" t="n">
        <v>2.7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Svart jordtunga</t>
        </is>
      </c>
      <c r="W20">
        <f>HYPERLINK("https://klasma.github.io/Logging_1441/artfynd/A 26568-2023 artfynd.xlsx", "A 26568-2023")</f>
        <v/>
      </c>
      <c r="X20">
        <f>HYPERLINK("https://klasma.github.io/Logging_1441/kartor/A 26568-2023 karta.png", "A 26568-2023")</f>
        <v/>
      </c>
      <c r="Y20">
        <f>HYPERLINK("https://klasma.github.io/Logging_1441/kartor_geotiff/A 26568-2023 georefererad karta.tif", "A 26568-2023")</f>
        <v/>
      </c>
      <c r="AA20">
        <f>HYPERLINK("https://klasma.github.io/Logging_1441/klagomål/A 26568-2023 FSC-klagomål.docx", "A 26568-2023")</f>
        <v/>
      </c>
      <c r="AB20">
        <f>HYPERLINK("https://klasma.github.io/Logging_1441/klagomålsmail/A 26568-2023 FSC-klagomål mail.docx", "A 26568-2023")</f>
        <v/>
      </c>
      <c r="AC20">
        <f>HYPERLINK("https://klasma.github.io/Logging_1441/tillsyn/A 26568-2023 tillsynsbegäran.docx", "A 26568-2023")</f>
        <v/>
      </c>
      <c r="AD20">
        <f>HYPERLINK("https://klasma.github.io/Logging_1441/tillsynsmail/A 26568-2023 tillsynsbegäran mail.docx", "A 26568-2023")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46229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46229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46229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46229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46229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46229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46229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46229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46229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46229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46229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46229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46229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46229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46229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46229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46229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46229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46229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46229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46229</v>
      </c>
      <c r="F41" t="inlineStr">
        <is>
          <t>VÄSTRA GÖTALANDS LÄN</t>
        </is>
      </c>
      <c r="G41" t="inlineStr">
        <is>
          <t>LERUM</t>
        </is>
      </c>
      <c r="I41" t="n">
        <v>7.4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50397-2023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46229</v>
      </c>
      <c r="F42" t="inlineStr">
        <is>
          <t>VÄSTRA GÖTALANDS LÄN</t>
        </is>
      </c>
      <c r="G42" t="inlineStr">
        <is>
          <t>LERUM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46229</v>
      </c>
      <c r="F43" t="inlineStr">
        <is>
          <t>VÄSTRA GÖTALANDS LÄN</t>
        </is>
      </c>
      <c r="G43" t="inlineStr">
        <is>
          <t>LERUM</t>
        </is>
      </c>
      <c r="I43" t="n">
        <v>6.6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45350</v>
      </c>
      <c r="E44" s="1" t="n">
        <v>46229</v>
      </c>
      <c r="F44" t="inlineStr">
        <is>
          <t>VÄSTRA GÖTALANDS LÄN</t>
        </is>
      </c>
      <c r="G44" t="inlineStr">
        <is>
          <t>LERUM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44809</v>
      </c>
      <c r="E45" s="1" t="n">
        <v>46229</v>
      </c>
      <c r="F45" t="inlineStr">
        <is>
          <t>VÄSTRA GÖTALANDS LÄN</t>
        </is>
      </c>
      <c r="G45" t="inlineStr">
        <is>
          <t>LERUM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47866-2024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46229</v>
      </c>
      <c r="F46" t="inlineStr">
        <is>
          <t>VÄSTRA GÖTALANDS LÄN</t>
        </is>
      </c>
      <c r="G46" t="inlineStr">
        <is>
          <t>LERUM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46229</v>
      </c>
      <c r="F47" t="inlineStr">
        <is>
          <t>VÄSTRA GÖTALANDS LÄN</t>
        </is>
      </c>
      <c r="G47" t="inlineStr">
        <is>
          <t>LERUM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22300-2022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44712</v>
      </c>
      <c r="E48" s="1" t="n">
        <v>46229</v>
      </c>
      <c r="F48" t="inlineStr">
        <is>
          <t>VÄSTRA GÖTALANDS LÄN</t>
        </is>
      </c>
      <c r="G48" t="inlineStr">
        <is>
          <t>LERUM</t>
        </is>
      </c>
      <c r="I48" t="n">
        <v>23.3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50405-2023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46229</v>
      </c>
      <c r="F49" t="inlineStr">
        <is>
          <t>VÄSTRA GÖTALANDS LÄN</t>
        </is>
      </c>
      <c r="G49" t="inlineStr">
        <is>
          <t>LERUM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45216</v>
      </c>
      <c r="E50" s="1" t="n">
        <v>46229</v>
      </c>
      <c r="F50" t="inlineStr">
        <is>
          <t>VÄSTRA GÖTALANDS LÄN</t>
        </is>
      </c>
      <c r="G50" t="inlineStr">
        <is>
          <t>LERUM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40848-2025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45897</v>
      </c>
      <c r="E51" s="1" t="n">
        <v>46229</v>
      </c>
      <c r="F51" t="inlineStr">
        <is>
          <t>VÄSTRA GÖTALANDS LÄN</t>
        </is>
      </c>
      <c r="G51" t="inlineStr">
        <is>
          <t>LERUM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38743-2025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45887</v>
      </c>
      <c r="E52" s="1" t="n">
        <v>46229</v>
      </c>
      <c r="F52" t="inlineStr">
        <is>
          <t>VÄSTRA GÖTALANDS LÄN</t>
        </is>
      </c>
      <c r="G52" t="inlineStr">
        <is>
          <t>LERUM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41836-2022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44828</v>
      </c>
      <c r="E53" s="1" t="n">
        <v>46229</v>
      </c>
      <c r="F53" t="inlineStr">
        <is>
          <t>VÄSTRA GÖTALANDS LÄN</t>
        </is>
      </c>
      <c r="G53" t="inlineStr">
        <is>
          <t>LERUM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44780-2025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46229</v>
      </c>
      <c r="F54" t="inlineStr">
        <is>
          <t>VÄSTRA GÖTALANDS LÄN</t>
        </is>
      </c>
      <c r="G54" t="inlineStr">
        <is>
          <t>LERUM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46229</v>
      </c>
      <c r="F55" t="inlineStr">
        <is>
          <t>VÄSTRA GÖTALANDS LÄN</t>
        </is>
      </c>
      <c r="G55" t="inlineStr">
        <is>
          <t>LERUM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45834</v>
      </c>
      <c r="E56" s="1" t="n">
        <v>46229</v>
      </c>
      <c r="F56" t="inlineStr">
        <is>
          <t>VÄSTRA GÖTALANDS LÄN</t>
        </is>
      </c>
      <c r="G56" t="inlineStr">
        <is>
          <t>LERUM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47944-2024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45589</v>
      </c>
      <c r="E57" s="1" t="n">
        <v>46229</v>
      </c>
      <c r="F57" t="inlineStr">
        <is>
          <t>VÄSTRA GÖTALANDS LÄN</t>
        </is>
      </c>
      <c r="G57" t="inlineStr">
        <is>
          <t>LERUM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45132-2025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45919</v>
      </c>
      <c r="E58" s="1" t="n">
        <v>46229</v>
      </c>
      <c r="F58" t="inlineStr">
        <is>
          <t>VÄSTRA GÖTALANDS LÄN</t>
        </is>
      </c>
      <c r="G58" t="inlineStr">
        <is>
          <t>LERUM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46229</v>
      </c>
      <c r="F59" t="inlineStr">
        <is>
          <t>VÄSTRA GÖTALANDS LÄN</t>
        </is>
      </c>
      <c r="G59" t="inlineStr">
        <is>
          <t>LERUM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46229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45483-2025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45922</v>
      </c>
      <c r="E61" s="1" t="n">
        <v>46229</v>
      </c>
      <c r="F61" t="inlineStr">
        <is>
          <t>VÄSTRA GÖTALANDS LÄN</t>
        </is>
      </c>
      <c r="G61" t="inlineStr">
        <is>
          <t>LERUM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46957-2025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45929</v>
      </c>
      <c r="E62" s="1" t="n">
        <v>46229</v>
      </c>
      <c r="F62" t="inlineStr">
        <is>
          <t>VÄSTRA GÖTALANDS LÄN</t>
        </is>
      </c>
      <c r="G62" t="inlineStr">
        <is>
          <t>LERUM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45723</v>
      </c>
      <c r="E63" s="1" t="n">
        <v>46229</v>
      </c>
      <c r="F63" t="inlineStr">
        <is>
          <t>VÄSTRA GÖTALANDS LÄN</t>
        </is>
      </c>
      <c r="G63" t="inlineStr">
        <is>
          <t>LERUM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47599-2025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45931</v>
      </c>
      <c r="E64" s="1" t="n">
        <v>46229</v>
      </c>
      <c r="F64" t="inlineStr">
        <is>
          <t>VÄSTRA GÖTALANDS LÄN</t>
        </is>
      </c>
      <c r="G64" t="inlineStr">
        <is>
          <t>LERUM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46229</v>
      </c>
      <c r="F65" t="inlineStr">
        <is>
          <t>VÄSTRA GÖTALANDS LÄN</t>
        </is>
      </c>
      <c r="G65" t="inlineStr">
        <is>
          <t>LERUM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46229</v>
      </c>
      <c r="F66" t="inlineStr">
        <is>
          <t>VÄSTRA GÖTALANDS LÄN</t>
        </is>
      </c>
      <c r="G66" t="inlineStr">
        <is>
          <t>LERUM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46229</v>
      </c>
      <c r="F67" t="inlineStr">
        <is>
          <t>VÄSTRA GÖTALANDS LÄN</t>
        </is>
      </c>
      <c r="G67" t="inlineStr">
        <is>
          <t>LERUM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46229</v>
      </c>
      <c r="F68" t="inlineStr">
        <is>
          <t>VÄSTRA GÖTALANDS LÄN</t>
        </is>
      </c>
      <c r="G68" t="inlineStr">
        <is>
          <t>LERUM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46229</v>
      </c>
      <c r="F69" t="inlineStr">
        <is>
          <t>VÄSTRA GÖTALANDS LÄN</t>
        </is>
      </c>
      <c r="G69" t="inlineStr">
        <is>
          <t>LERUM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44943</v>
      </c>
      <c r="E70" s="1" t="n">
        <v>46229</v>
      </c>
      <c r="F70" t="inlineStr">
        <is>
          <t>VÄSTRA GÖTALANDS LÄN</t>
        </is>
      </c>
      <c r="G70" t="inlineStr">
        <is>
          <t>LERUM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66107-2021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46229</v>
      </c>
      <c r="F71" t="inlineStr">
        <is>
          <t>VÄSTRA GÖTALANDS LÄN</t>
        </is>
      </c>
      <c r="G71" t="inlineStr">
        <is>
          <t>LERUM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66008-2021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44517</v>
      </c>
      <c r="E72" s="1" t="n">
        <v>46229</v>
      </c>
      <c r="F72" t="inlineStr">
        <is>
          <t>VÄSTRA GÖTALANDS LÄN</t>
        </is>
      </c>
      <c r="G72" t="inlineStr">
        <is>
          <t>LERUM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57178-2022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46229</v>
      </c>
      <c r="F73" t="inlineStr">
        <is>
          <t>VÄSTRA GÖTALANDS LÄN</t>
        </is>
      </c>
      <c r="G73" t="inlineStr">
        <is>
          <t>LERUM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46229</v>
      </c>
      <c r="F74" t="inlineStr">
        <is>
          <t>VÄSTRA GÖTALANDS LÄN</t>
        </is>
      </c>
      <c r="G74" t="inlineStr">
        <is>
          <t>LERUM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46229</v>
      </c>
      <c r="F75" t="inlineStr">
        <is>
          <t>VÄSTRA GÖTALANDS LÄN</t>
        </is>
      </c>
      <c r="G75" t="inlineStr">
        <is>
          <t>LERUM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47398-2024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46229</v>
      </c>
      <c r="F76" t="inlineStr">
        <is>
          <t>VÄSTRA GÖTALANDS LÄN</t>
        </is>
      </c>
      <c r="G76" t="inlineStr">
        <is>
          <t>LERUM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7429-2024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45345</v>
      </c>
      <c r="E77" s="1" t="n">
        <v>46229</v>
      </c>
      <c r="F77" t="inlineStr">
        <is>
          <t>VÄSTRA GÖTALANDS LÄN</t>
        </is>
      </c>
      <c r="G77" t="inlineStr">
        <is>
          <t>LERUM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46229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46229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45412</v>
      </c>
      <c r="E80" s="1" t="n">
        <v>46229</v>
      </c>
      <c r="F80" t="inlineStr">
        <is>
          <t>VÄSTRA GÖTALANDS LÄN</t>
        </is>
      </c>
      <c r="G80" t="inlineStr">
        <is>
          <t>LERUM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50420-2023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45216</v>
      </c>
      <c r="E81" s="1" t="n">
        <v>46229</v>
      </c>
      <c r="F81" t="inlineStr">
        <is>
          <t>VÄSTRA GÖTALANDS LÄN</t>
        </is>
      </c>
      <c r="G81" t="inlineStr">
        <is>
          <t>LERUM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45982</v>
      </c>
      <c r="E82" s="1" t="n">
        <v>46229</v>
      </c>
      <c r="F82" t="inlineStr">
        <is>
          <t>VÄSTRA GÖTALANDS LÄN</t>
        </is>
      </c>
      <c r="G82" t="inlineStr">
        <is>
          <t>LERUM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46229</v>
      </c>
      <c r="F83" t="inlineStr">
        <is>
          <t>VÄSTRA GÖTALANDS LÄN</t>
        </is>
      </c>
      <c r="G83" t="inlineStr">
        <is>
          <t>LERUM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46229</v>
      </c>
      <c r="F84" t="inlineStr">
        <is>
          <t>VÄSTRA GÖTALANDS LÄN</t>
        </is>
      </c>
      <c r="G84" t="inlineStr">
        <is>
          <t>LERUM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46229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46229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46229</v>
      </c>
      <c r="F87" t="inlineStr">
        <is>
          <t>VÄSTRA GÖTALANDS LÄN</t>
        </is>
      </c>
      <c r="G87" t="inlineStr">
        <is>
          <t>LERUM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20680-2022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44700</v>
      </c>
      <c r="E88" s="1" t="n">
        <v>46229</v>
      </c>
      <c r="F88" t="inlineStr">
        <is>
          <t>VÄSTRA GÖTALANDS LÄN</t>
        </is>
      </c>
      <c r="G88" t="inlineStr">
        <is>
          <t>LERUM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46229</v>
      </c>
      <c r="F89" t="inlineStr">
        <is>
          <t>VÄSTRA GÖTALANDS LÄN</t>
        </is>
      </c>
      <c r="G89" t="inlineStr">
        <is>
          <t>LERUM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45170</v>
      </c>
      <c r="E90" s="1" t="n">
        <v>46229</v>
      </c>
      <c r="F90" t="inlineStr">
        <is>
          <t>VÄSTRA GÖTALANDS LÄN</t>
        </is>
      </c>
      <c r="G90" t="inlineStr">
        <is>
          <t>LERUM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46229</v>
      </c>
      <c r="F91" t="inlineStr">
        <is>
          <t>VÄSTRA GÖTALANDS LÄN</t>
        </is>
      </c>
      <c r="G91" t="inlineStr">
        <is>
          <t>LERUM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46229</v>
      </c>
      <c r="F92" t="inlineStr">
        <is>
          <t>VÄSTRA GÖTALANDS LÄN</t>
        </is>
      </c>
      <c r="G92" t="inlineStr">
        <is>
          <t>LERUM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46229</v>
      </c>
      <c r="F93" t="inlineStr">
        <is>
          <t>VÄSTRA GÖTALANDS LÄN</t>
        </is>
      </c>
      <c r="G93" t="inlineStr">
        <is>
          <t>LERUM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24163-2024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45441</v>
      </c>
      <c r="E94" s="1" t="n">
        <v>46229</v>
      </c>
      <c r="F94" t="inlineStr">
        <is>
          <t>VÄSTRA GÖTALANDS LÄN</t>
        </is>
      </c>
      <c r="G94" t="inlineStr">
        <is>
          <t>LERUM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46229</v>
      </c>
      <c r="F95" t="inlineStr">
        <is>
          <t>VÄSTRA GÖTALANDS LÄN</t>
        </is>
      </c>
      <c r="G95" t="inlineStr">
        <is>
          <t>LERUM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5359-2023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44959</v>
      </c>
      <c r="E96" s="1" t="n">
        <v>46229</v>
      </c>
      <c r="F96" t="inlineStr">
        <is>
          <t>VÄSTRA GÖTALANDS LÄN</t>
        </is>
      </c>
      <c r="G96" t="inlineStr">
        <is>
          <t>LERUM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11232-2025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45726</v>
      </c>
      <c r="E97" s="1" t="n">
        <v>46229</v>
      </c>
      <c r="F97" t="inlineStr">
        <is>
          <t>VÄSTRA GÖTALANDS LÄN</t>
        </is>
      </c>
      <c r="G97" t="inlineStr">
        <is>
          <t>LERUM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46229</v>
      </c>
      <c r="F98" t="inlineStr">
        <is>
          <t>VÄSTRA GÖTALANDS LÄN</t>
        </is>
      </c>
      <c r="G98" t="inlineStr">
        <is>
          <t>LERUM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46206</v>
      </c>
      <c r="E99" s="1" t="n">
        <v>46229</v>
      </c>
      <c r="F99" t="inlineStr">
        <is>
          <t>VÄSTRA GÖTALANDS LÄN</t>
        </is>
      </c>
      <c r="G99" t="inlineStr">
        <is>
          <t>LERUM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45565</v>
      </c>
      <c r="E100" s="1" t="n">
        <v>46229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45476</v>
      </c>
      <c r="E101" s="1" t="n">
        <v>46229</v>
      </c>
      <c r="F101" t="inlineStr">
        <is>
          <t>VÄSTRA GÖTALANDS LÄN</t>
        </is>
      </c>
      <c r="G101" t="inlineStr">
        <is>
          <t>LERUM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45476</v>
      </c>
      <c r="E102" s="1" t="n">
        <v>46229</v>
      </c>
      <c r="F102" t="inlineStr">
        <is>
          <t>VÄSTRA GÖTALANDS LÄN</t>
        </is>
      </c>
      <c r="G102" t="inlineStr">
        <is>
          <t>LERUM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21133-2022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44704</v>
      </c>
      <c r="E103" s="1" t="n">
        <v>46229</v>
      </c>
      <c r="F103" t="inlineStr">
        <is>
          <t>VÄSTRA GÖTALANDS LÄN</t>
        </is>
      </c>
      <c r="G103" t="inlineStr">
        <is>
          <t>LERUM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46229</v>
      </c>
      <c r="F104" t="inlineStr">
        <is>
          <t>VÄSTRA GÖTALANDS LÄN</t>
        </is>
      </c>
      <c r="G104" t="inlineStr">
        <is>
          <t>LERUM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19238-2026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46132</v>
      </c>
      <c r="E105" s="1" t="n">
        <v>46229</v>
      </c>
      <c r="F105" t="inlineStr">
        <is>
          <t>VÄSTRA GÖTALANDS LÄN</t>
        </is>
      </c>
      <c r="G105" t="inlineStr">
        <is>
          <t>LERUM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16648-2023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46229</v>
      </c>
      <c r="F106" t="inlineStr">
        <is>
          <t>VÄSTRA GÖTALANDS LÄN</t>
        </is>
      </c>
      <c r="G106" t="inlineStr">
        <is>
          <t>LERUM</t>
        </is>
      </c>
      <c r="H106" t="inlineStr">
        <is>
          <t>Kyrkan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790-2024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46229</v>
      </c>
      <c r="F107" t="inlineStr">
        <is>
          <t>VÄSTRA GÖTALANDS LÄN</t>
        </is>
      </c>
      <c r="G107" t="inlineStr">
        <is>
          <t>LERUM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46229</v>
      </c>
      <c r="F108" t="inlineStr">
        <is>
          <t>VÄSTRA GÖTALANDS LÄN</t>
        </is>
      </c>
      <c r="G108" t="inlineStr">
        <is>
          <t>LERUM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44710</v>
      </c>
      <c r="E109" s="1" t="n">
        <v>46229</v>
      </c>
      <c r="F109" t="inlineStr">
        <is>
          <t>VÄSTRA GÖTALANDS LÄN</t>
        </is>
      </c>
      <c r="G109" t="inlineStr">
        <is>
          <t>LERUM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46229</v>
      </c>
      <c r="F110" t="inlineStr">
        <is>
          <t>VÄSTRA GÖTALANDS LÄN</t>
        </is>
      </c>
      <c r="G110" t="inlineStr">
        <is>
          <t>LERUM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27367-2025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45812</v>
      </c>
      <c r="E111" s="1" t="n">
        <v>46229</v>
      </c>
      <c r="F111" t="inlineStr">
        <is>
          <t>VÄSTRA GÖTALANDS LÄN</t>
        </is>
      </c>
      <c r="G111" t="inlineStr">
        <is>
          <t>LERUM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46229</v>
      </c>
      <c r="F112" t="inlineStr">
        <is>
          <t>VÄSTRA GÖTALANDS LÄN</t>
        </is>
      </c>
      <c r="G112" t="inlineStr">
        <is>
          <t>LERUM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46229</v>
      </c>
      <c r="F113" t="inlineStr">
        <is>
          <t>VÄSTRA GÖTALANDS LÄN</t>
        </is>
      </c>
      <c r="G113" t="inlineStr">
        <is>
          <t>LERUM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46229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46229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2026-07-26T01:50:45Z</dcterms:created>
  <dcterms:modified xmlns:dcterms="http://purl.org/dc/terms/" xmlns:xsi="http://www.w3.org/2001/XMLSchema-instance" xsi:type="dcterms:W3CDTF">2026-07-26T01:50:45Z</dcterms:modified>
</cp:coreProperties>
</file>