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46308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46308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46308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46308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46308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46308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46308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64855-2023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45282</v>
      </c>
      <c r="E16" s="1" t="n">
        <v>46308</v>
      </c>
      <c r="F16" t="inlineStr">
        <is>
          <t>VÄSTRA GÖTALANDS LÄN</t>
        </is>
      </c>
      <c r="G16" t="inlineStr">
        <is>
          <t>LERUM</t>
        </is>
      </c>
      <c r="I16" t="n">
        <v>3.7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HYPERLINK("https://klasma.github.io/Logging_1441/artfynd/A 64855-2023 artfynd.xlsx", "A 64855-2023")</f>
        <v/>
      </c>
      <c r="X16">
        <f>HYPERLINK("https://klasma.github.io/Logging_1441/kartor/A 64855-2023 karta.png", "A 64855-2023")</f>
        <v/>
      </c>
      <c r="Y16">
        <f>HYPERLINK("https://klasma.github.io/Logging_1441/kartor_geotiff/A 64855-2023 georefererad karta.tif", "A 64855-2023")</f>
        <v/>
      </c>
      <c r="AA16">
        <f>HYPERLINK("https://klasma.github.io/Logging_1441/klagomål/A 64855-2023 FSC-klagomål.docx", "A 64855-2023")</f>
        <v/>
      </c>
      <c r="AB16">
        <f>HYPERLINK("https://klasma.github.io/Logging_1441/klagomålsmail/A 64855-2023 FSC-klagomål mail.docx", "A 64855-2023")</f>
        <v/>
      </c>
      <c r="AC16">
        <f>HYPERLINK("https://klasma.github.io/Logging_1441/tillsyn/A 64855-2023 tillsynsbegäran.docx", "A 64855-2023")</f>
        <v/>
      </c>
      <c r="AD16">
        <f>HYPERLINK("https://klasma.github.io/Logging_1441/tillsynsmail/A 64855-2023 tillsynsbegäran mail.docx", "A 64855-2023")</f>
        <v/>
      </c>
      <c r="AE16">
        <f>HYPERLINK("https://klasma.github.io/Logging_1441/fåglar/A 64855-2023 prioriterade fågelarter.docx", "A 64855-2023")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46308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46308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46308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46308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46308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46308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46308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46308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46308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46308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46308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46308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46308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46308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46308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45887</v>
      </c>
      <c r="E33" s="1" t="n">
        <v>46308</v>
      </c>
      <c r="F33" t="inlineStr">
        <is>
          <t>VÄSTRA GÖTALANDS LÄN</t>
        </is>
      </c>
      <c r="G33" t="inlineStr">
        <is>
          <t>LERUM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40848-2025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45897</v>
      </c>
      <c r="E34" s="1" t="n">
        <v>46308</v>
      </c>
      <c r="F34" t="inlineStr">
        <is>
          <t>VÄSTRA GÖTALANDS LÄN</t>
        </is>
      </c>
      <c r="G34" t="inlineStr">
        <is>
          <t>LERUM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45887</v>
      </c>
      <c r="E35" s="1" t="n">
        <v>46308</v>
      </c>
      <c r="F35" t="inlineStr">
        <is>
          <t>VÄSTRA GÖTALANDS LÄN</t>
        </is>
      </c>
      <c r="G35" t="inlineStr">
        <is>
          <t>LERUM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790-2024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45300</v>
      </c>
      <c r="E36" s="1" t="n">
        <v>46308</v>
      </c>
      <c r="F36" t="inlineStr">
        <is>
          <t>VÄSTRA GÖTALANDS LÄN</t>
        </is>
      </c>
      <c r="G36" t="inlineStr">
        <is>
          <t>LERUM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45132-2025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45919</v>
      </c>
      <c r="E37" s="1" t="n">
        <v>46308</v>
      </c>
      <c r="F37" t="inlineStr">
        <is>
          <t>VÄSTRA GÖTALANDS LÄN</t>
        </is>
      </c>
      <c r="G37" t="inlineStr">
        <is>
          <t>LERUM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45396-2025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46308</v>
      </c>
      <c r="F38" t="inlineStr">
        <is>
          <t>VÄSTRA GÖTALANDS LÄN</t>
        </is>
      </c>
      <c r="G38" t="inlineStr">
        <is>
          <t>LERUM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45363-2025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46308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45483-2025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46308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46957-2025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45929</v>
      </c>
      <c r="E41" s="1" t="n">
        <v>46308</v>
      </c>
      <c r="F41" t="inlineStr">
        <is>
          <t>VÄSTRA GÖTALANDS LÄN</t>
        </is>
      </c>
      <c r="G41" t="inlineStr">
        <is>
          <t>LERUM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46308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66104-2021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46308</v>
      </c>
      <c r="F43" t="inlineStr">
        <is>
          <t>VÄSTRA GÖTALANDS LÄN</t>
        </is>
      </c>
      <c r="G43" t="inlineStr">
        <is>
          <t>LERUM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46308</v>
      </c>
      <c r="F44" t="inlineStr">
        <is>
          <t>VÄSTRA GÖTALANDS LÄN</t>
        </is>
      </c>
      <c r="G44" t="inlineStr">
        <is>
          <t>LERUM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46308</v>
      </c>
      <c r="F45" t="inlineStr">
        <is>
          <t>VÄSTRA GÖTALANDS LÄN</t>
        </is>
      </c>
      <c r="G45" t="inlineStr">
        <is>
          <t>LERUM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46308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46308</v>
      </c>
      <c r="F47" t="inlineStr">
        <is>
          <t>VÄSTRA GÖTALANDS LÄN</t>
        </is>
      </c>
      <c r="G47" t="inlineStr">
        <is>
          <t>LERUM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46308</v>
      </c>
      <c r="F48" t="inlineStr">
        <is>
          <t>VÄSTRA GÖTALANDS LÄN</t>
        </is>
      </c>
      <c r="G48" t="inlineStr">
        <is>
          <t>LERUM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66107-2021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46308</v>
      </c>
      <c r="F49" t="inlineStr">
        <is>
          <t>VÄSTRA GÖTALANDS LÄN</t>
        </is>
      </c>
      <c r="G49" t="inlineStr">
        <is>
          <t>LERUM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66008-2021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46308</v>
      </c>
      <c r="F50" t="inlineStr">
        <is>
          <t>VÄSTRA GÖTALANDS LÄN</t>
        </is>
      </c>
      <c r="G50" t="inlineStr">
        <is>
          <t>LERUM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57178-2022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46308</v>
      </c>
      <c r="F51" t="inlineStr">
        <is>
          <t>VÄSTRA GÖTALANDS LÄN</t>
        </is>
      </c>
      <c r="G51" t="inlineStr">
        <is>
          <t>LERUM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57195-2022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46308</v>
      </c>
      <c r="F52" t="inlineStr">
        <is>
          <t>VÄSTRA GÖTALANDS LÄN</t>
        </is>
      </c>
      <c r="G52" t="inlineStr">
        <is>
          <t>LERUM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46308</v>
      </c>
      <c r="F53" t="inlineStr">
        <is>
          <t>VÄSTRA GÖTALANDS LÄN</t>
        </is>
      </c>
      <c r="G53" t="inlineStr">
        <is>
          <t>LERUM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46308</v>
      </c>
      <c r="F54" t="inlineStr">
        <is>
          <t>VÄSTRA GÖTALANDS LÄN</t>
        </is>
      </c>
      <c r="G54" t="inlineStr">
        <is>
          <t>LERUM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44710</v>
      </c>
      <c r="E55" s="1" t="n">
        <v>46308</v>
      </c>
      <c r="F55" t="inlineStr">
        <is>
          <t>VÄSTRA GÖTALANDS LÄN</t>
        </is>
      </c>
      <c r="G55" t="inlineStr">
        <is>
          <t>LERUM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50622-2023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46308</v>
      </c>
      <c r="F56" t="inlineStr">
        <is>
          <t>VÄSTRA GÖTALANDS LÄN</t>
        </is>
      </c>
      <c r="G56" t="inlineStr">
        <is>
          <t>LERUM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45971</v>
      </c>
      <c r="E57" s="1" t="n">
        <v>46308</v>
      </c>
      <c r="F57" t="inlineStr">
        <is>
          <t>VÄSTRA GÖTALANDS LÄN</t>
        </is>
      </c>
      <c r="G57" t="inlineStr">
        <is>
          <t>LERUM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30034-2026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46206</v>
      </c>
      <c r="E58" s="1" t="n">
        <v>46308</v>
      </c>
      <c r="F58" t="inlineStr">
        <is>
          <t>VÄSTRA GÖTALANDS LÄN</t>
        </is>
      </c>
      <c r="G58" t="inlineStr">
        <is>
          <t>LERUM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46308</v>
      </c>
      <c r="F59" t="inlineStr">
        <is>
          <t>VÄSTRA GÖTALANDS LÄN</t>
        </is>
      </c>
      <c r="G59" t="inlineStr">
        <is>
          <t>LERUM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46308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46308</v>
      </c>
      <c r="F61" t="inlineStr">
        <is>
          <t>VÄSTRA GÖTALANDS LÄN</t>
        </is>
      </c>
      <c r="G61" t="inlineStr">
        <is>
          <t>LERUM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46308</v>
      </c>
      <c r="F62" t="inlineStr">
        <is>
          <t>VÄSTRA GÖTALANDS LÄN</t>
        </is>
      </c>
      <c r="G62" t="inlineStr">
        <is>
          <t>LERUM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46308</v>
      </c>
      <c r="F63" t="inlineStr">
        <is>
          <t>VÄSTRA GÖTALANDS LÄN</t>
        </is>
      </c>
      <c r="G63" t="inlineStr">
        <is>
          <t>LERUM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27367-2025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45812</v>
      </c>
      <c r="E64" s="1" t="n">
        <v>46308</v>
      </c>
      <c r="F64" t="inlineStr">
        <is>
          <t>VÄSTRA GÖTALANDS LÄN</t>
        </is>
      </c>
      <c r="G64" t="inlineStr">
        <is>
          <t>LERUM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46308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46008</v>
      </c>
      <c r="E66" s="1" t="n">
        <v>46308</v>
      </c>
      <c r="F66" t="inlineStr">
        <is>
          <t>VÄSTRA GÖTALANDS LÄN</t>
        </is>
      </c>
      <c r="G66" t="inlineStr">
        <is>
          <t>LERUM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46276</v>
      </c>
      <c r="E67" s="1" t="n">
        <v>46308</v>
      </c>
      <c r="F67" t="inlineStr">
        <is>
          <t>VÄSTRA GÖTALANDS LÄN</t>
        </is>
      </c>
      <c r="G67" t="inlineStr">
        <is>
          <t>LERUM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45329</v>
      </c>
      <c r="E68" s="1" t="n">
        <v>46308</v>
      </c>
      <c r="F68" t="inlineStr">
        <is>
          <t>VÄSTRA GÖTALANDS LÄN</t>
        </is>
      </c>
      <c r="G68" t="inlineStr">
        <is>
          <t>LERUM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46308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46308</v>
      </c>
      <c r="F70" t="inlineStr">
        <is>
          <t>VÄSTRA GÖTALANDS LÄN</t>
        </is>
      </c>
      <c r="G70" t="inlineStr">
        <is>
          <t>LERUM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46308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46036</v>
      </c>
      <c r="E72" s="1" t="n">
        <v>46308</v>
      </c>
      <c r="F72" t="inlineStr">
        <is>
          <t>VÄSTRA GÖTALANDS LÄN</t>
        </is>
      </c>
      <c r="G72" t="inlineStr">
        <is>
          <t>LERUM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11232-2025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45726</v>
      </c>
      <c r="E73" s="1" t="n">
        <v>46308</v>
      </c>
      <c r="F73" t="inlineStr">
        <is>
          <t>VÄSTRA GÖTALANDS LÄN</t>
        </is>
      </c>
      <c r="G73" t="inlineStr">
        <is>
          <t>LERUM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33070-2026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46245</v>
      </c>
      <c r="E74" s="1" t="n">
        <v>46308</v>
      </c>
      <c r="F74" t="inlineStr">
        <is>
          <t>VÄSTRA GÖTALANDS LÄN</t>
        </is>
      </c>
      <c r="G74" t="inlineStr">
        <is>
          <t>LERUM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46308</v>
      </c>
      <c r="F75" t="inlineStr">
        <is>
          <t>VÄSTRA GÖTALANDS LÄN</t>
        </is>
      </c>
      <c r="G75" t="inlineStr">
        <is>
          <t>LERUM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39853-2026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46290</v>
      </c>
      <c r="E76" s="1" t="n">
        <v>46308</v>
      </c>
      <c r="F76" t="inlineStr">
        <is>
          <t>VÄSTRA GÖTALANDS LÄN</t>
        </is>
      </c>
      <c r="G76" t="inlineStr">
        <is>
          <t>LERUM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46308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35199-2023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45145</v>
      </c>
      <c r="E78" s="1" t="n">
        <v>46308</v>
      </c>
      <c r="F78" t="inlineStr">
        <is>
          <t>VÄSTRA GÖTALANDS LÄN</t>
        </is>
      </c>
      <c r="G78" t="inlineStr">
        <is>
          <t>LERUM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21133-2022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44704</v>
      </c>
      <c r="E79" s="1" t="n">
        <v>46308</v>
      </c>
      <c r="F79" t="inlineStr">
        <is>
          <t>VÄSTRA GÖTALANDS LÄN</t>
        </is>
      </c>
      <c r="G79" t="inlineStr">
        <is>
          <t>LERUM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46308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45055</v>
      </c>
      <c r="E81" s="1" t="n">
        <v>46308</v>
      </c>
      <c r="F81" t="inlineStr">
        <is>
          <t>VÄSTRA GÖTALANDS LÄN</t>
        </is>
      </c>
      <c r="G81" t="inlineStr">
        <is>
          <t>LERUM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46308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46308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46308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46308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46308</v>
      </c>
      <c r="F86" t="inlineStr">
        <is>
          <t>VÄSTRA GÖTALANDS LÄN</t>
        </is>
      </c>
      <c r="G86" t="inlineStr">
        <is>
          <t>LERUM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47944-2024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45589</v>
      </c>
      <c r="E87" s="1" t="n">
        <v>46308</v>
      </c>
      <c r="F87" t="inlineStr">
        <is>
          <t>VÄSTRA GÖTALANDS LÄN</t>
        </is>
      </c>
      <c r="G87" t="inlineStr">
        <is>
          <t>LERUM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45723</v>
      </c>
      <c r="E88" s="1" t="n">
        <v>46308</v>
      </c>
      <c r="F88" t="inlineStr">
        <is>
          <t>VÄSTRA GÖTALANDS LÄN</t>
        </is>
      </c>
      <c r="G88" t="inlineStr">
        <is>
          <t>LERUM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46308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46308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46308</v>
      </c>
      <c r="F91" t="inlineStr">
        <is>
          <t>VÄSTRA GÖTALANDS LÄN</t>
        </is>
      </c>
      <c r="G91" t="inlineStr">
        <is>
          <t>LERUM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46308</v>
      </c>
      <c r="F92" t="inlineStr">
        <is>
          <t>VÄSTRA GÖTALANDS LÄN</t>
        </is>
      </c>
      <c r="G92" t="inlineStr">
        <is>
          <t>LERUM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46308</v>
      </c>
      <c r="F93" t="inlineStr">
        <is>
          <t>VÄSTRA GÖTALANDS LÄN</t>
        </is>
      </c>
      <c r="G93" t="inlineStr">
        <is>
          <t>LERUM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46308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46308</v>
      </c>
      <c r="F95" t="inlineStr">
        <is>
          <t>VÄSTRA GÖTALANDS LÄN</t>
        </is>
      </c>
      <c r="G95" t="inlineStr">
        <is>
          <t>LERUM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46308</v>
      </c>
      <c r="F96" t="inlineStr">
        <is>
          <t>VÄSTRA GÖTALANDS LÄN</t>
        </is>
      </c>
      <c r="G96" t="inlineStr">
        <is>
          <t>LERUM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44828</v>
      </c>
      <c r="E97" s="1" t="n">
        <v>46308</v>
      </c>
      <c r="F97" t="inlineStr">
        <is>
          <t>VÄSTRA GÖTALANDS LÄN</t>
        </is>
      </c>
      <c r="G97" t="inlineStr">
        <is>
          <t>LERUM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46308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45345</v>
      </c>
      <c r="E99" s="1" t="n">
        <v>46308</v>
      </c>
      <c r="F99" t="inlineStr">
        <is>
          <t>VÄSTRA GÖTALANDS LÄN</t>
        </is>
      </c>
      <c r="G99" t="inlineStr">
        <is>
          <t>LERUM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45412</v>
      </c>
      <c r="E100" s="1" t="n">
        <v>46308</v>
      </c>
      <c r="F100" t="inlineStr">
        <is>
          <t>VÄSTRA GÖTALANDS LÄN</t>
        </is>
      </c>
      <c r="G100" t="inlineStr">
        <is>
          <t>LERUM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46308</v>
      </c>
      <c r="F101" t="inlineStr">
        <is>
          <t>VÄSTRA GÖTALANDS LÄN</t>
        </is>
      </c>
      <c r="G101" t="inlineStr">
        <is>
          <t>LERUM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46308</v>
      </c>
      <c r="F102" t="inlineStr">
        <is>
          <t>VÄSTRA GÖTALANDS LÄN</t>
        </is>
      </c>
      <c r="G102" t="inlineStr">
        <is>
          <t>LERUM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24163-2024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45441</v>
      </c>
      <c r="E103" s="1" t="n">
        <v>46308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45392</v>
      </c>
      <c r="E104" s="1" t="n">
        <v>46308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44959</v>
      </c>
      <c r="E105" s="1" t="n">
        <v>46308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46308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46308</v>
      </c>
      <c r="F107" t="inlineStr">
        <is>
          <t>VÄSTRA GÖTALANDS LÄN</t>
        </is>
      </c>
      <c r="G107" t="inlineStr">
        <is>
          <t>LERUM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46308</v>
      </c>
      <c r="F108" t="inlineStr">
        <is>
          <t>VÄSTRA GÖTALANDS LÄN</t>
        </is>
      </c>
      <c r="G108" t="inlineStr">
        <is>
          <t>LERUM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46308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46308</v>
      </c>
      <c r="F110" t="inlineStr">
        <is>
          <t>VÄSTRA GÖTALANDS LÄN</t>
        </is>
      </c>
      <c r="G110" t="inlineStr">
        <is>
          <t>LERUM</t>
        </is>
      </c>
      <c r="H110" t="inlineStr">
        <is>
          <t>Kyrkan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46308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46308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2026-10-13T02:03:32Z</dcterms:created>
  <dcterms:modified xmlns:dcterms="http://purl.org/dc/terms/" xmlns:xsi="http://www.w3.org/2001/XMLSchema-instance" xsi:type="dcterms:W3CDTF">2026-10-13T02:03:32Z</dcterms:modified>
</cp:coreProperties>
</file>