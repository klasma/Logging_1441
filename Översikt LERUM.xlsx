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45826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45826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45826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14442-2025</t>
        </is>
      </c>
      <c r="B5" s="1" t="n">
        <v>45741</v>
      </c>
      <c r="C5" s="1" t="n">
        <v>45826</v>
      </c>
      <c r="D5" t="inlineStr">
        <is>
          <t>VÄSTRA GÖTALANDS LÄN</t>
        </is>
      </c>
      <c r="E5" t="inlineStr">
        <is>
          <t>LERUM</t>
        </is>
      </c>
      <c r="G5" t="n">
        <v>2</v>
      </c>
      <c r="H5" t="n">
        <v>3</v>
      </c>
      <c r="I5" t="n">
        <v>0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Ask
Grönfink
Mindre hackspett
Huggorm</t>
        </is>
      </c>
      <c r="S5">
        <f>HYPERLINK("https://klasma.github.io/Logging_141441/artfynd/A 14442-2025 artfynd.xlsx", "A 14442-2025")</f>
        <v/>
      </c>
      <c r="T5">
        <f>HYPERLINK("https://klasma.github.io/Logging_141441/kartor/A 14442-2025 karta.png", "A 14442-2025")</f>
        <v/>
      </c>
      <c r="V5">
        <f>HYPERLINK("https://klasma.github.io/Logging_141441/klagomål/A 14442-2025 FSC-klagomål.docx", "A 14442-2025")</f>
        <v/>
      </c>
      <c r="W5">
        <f>HYPERLINK("https://klasma.github.io/Logging_141441/klagomålsmail/A 14442-2025 FSC-klagomål mail.docx", "A 14442-2025")</f>
        <v/>
      </c>
      <c r="X5">
        <f>HYPERLINK("https://klasma.github.io/Logging_141441/tillsyn/A 14442-2025 tillsynsbegäran.docx", "A 14442-2025")</f>
        <v/>
      </c>
      <c r="Y5">
        <f>HYPERLINK("https://klasma.github.io/Logging_141441/tillsynsmail/A 14442-2025 tillsynsbegäran mail.docx", "A 14442-2025")</f>
        <v/>
      </c>
      <c r="Z5">
        <f>HYPERLINK("https://klasma.github.io/Logging_141441/fåglar/A 14442-2025 prioriterade fågelarter.docx", "A 14442-2025")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45826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2440-2023</t>
        </is>
      </c>
      <c r="B7" s="1" t="n">
        <v>44943</v>
      </c>
      <c r="C7" s="1" t="n">
        <v>45826</v>
      </c>
      <c r="D7" t="inlineStr">
        <is>
          <t>VÄSTRA GÖTALANDS LÄN</t>
        </is>
      </c>
      <c r="E7" t="inlineStr">
        <is>
          <t>LERUM</t>
        </is>
      </c>
      <c r="G7" t="n">
        <v>2.4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Björksplintborre
Blåmossa
Vanlig groda</t>
        </is>
      </c>
      <c r="S7">
        <f>HYPERLINK("https://klasma.github.io/Logging_1441/artfynd/A 2440-2023 artfynd.xlsx", "A 2440-2023")</f>
        <v/>
      </c>
      <c r="T7">
        <f>HYPERLINK("https://klasma.github.io/Logging_1441/kartor/A 2440-2023 karta.png", "A 2440-2023")</f>
        <v/>
      </c>
      <c r="V7">
        <f>HYPERLINK("https://klasma.github.io/Logging_1441/klagomål/A 2440-2023 FSC-klagomål.docx", "A 2440-2023")</f>
        <v/>
      </c>
      <c r="W7">
        <f>HYPERLINK("https://klasma.github.io/Logging_1441/klagomålsmail/A 2440-2023 FSC-klagomål mail.docx", "A 2440-2023")</f>
        <v/>
      </c>
      <c r="X7">
        <f>HYPERLINK("https://klasma.github.io/Logging_1441/tillsyn/A 2440-2023 tillsynsbegäran.docx", "A 2440-2023")</f>
        <v/>
      </c>
      <c r="Y7">
        <f>HYPERLINK("https://klasma.github.io/Logging_1441/tillsynsmail/A 2440-2023 tillsynsbegäran mail.docx", "A 2440-2023")</f>
        <v/>
      </c>
    </row>
    <row r="8" ht="15" customHeight="1">
      <c r="A8" t="inlineStr">
        <is>
          <t>A 12259-2025</t>
        </is>
      </c>
      <c r="B8" s="1" t="n">
        <v>45729</v>
      </c>
      <c r="C8" s="1" t="n">
        <v>45826</v>
      </c>
      <c r="D8" t="inlineStr">
        <is>
          <t>VÄSTRA GÖTALANDS LÄN</t>
        </is>
      </c>
      <c r="E8" t="inlineStr">
        <is>
          <t>LERUM</t>
        </is>
      </c>
      <c r="G8" t="n">
        <v>5.2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Vanlig groda
Vanlig padda</t>
        </is>
      </c>
      <c r="S8">
        <f>HYPERLINK("https://klasma.github.io/Logging_141441/artfynd/A 12259-2025 artfynd.xlsx", "A 12259-2025")</f>
        <v/>
      </c>
      <c r="T8">
        <f>HYPERLINK("https://klasma.github.io/Logging_141441/kartor/A 12259-2025 karta.png", "A 12259-2025")</f>
        <v/>
      </c>
      <c r="V8">
        <f>HYPERLINK("https://klasma.github.io/Logging_141441/klagomål/A 12259-2025 FSC-klagomål.docx", "A 12259-2025")</f>
        <v/>
      </c>
      <c r="W8">
        <f>HYPERLINK("https://klasma.github.io/Logging_141441/klagomålsmail/A 12259-2025 FSC-klagomål mail.docx", "A 12259-2025")</f>
        <v/>
      </c>
      <c r="X8">
        <f>HYPERLINK("https://klasma.github.io/Logging_141441/tillsyn/A 12259-2025 tillsynsbegäran.docx", "A 12259-2025")</f>
        <v/>
      </c>
      <c r="Y8">
        <f>HYPERLINK("https://klasma.github.io/Logging_141441/tillsynsmail/A 12259-2025 tillsynsbegäran mail.docx", "A 12259-2025")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45826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45826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2447-2023</t>
        </is>
      </c>
      <c r="B11" s="1" t="n">
        <v>44943</v>
      </c>
      <c r="C11" s="1" t="n">
        <v>45826</v>
      </c>
      <c r="D11" t="inlineStr">
        <is>
          <t>VÄSTRA GÖTALANDS LÄN</t>
        </is>
      </c>
      <c r="E11" t="inlineStr">
        <is>
          <t>LERUM</t>
        </is>
      </c>
      <c r="G11" t="n">
        <v>3.6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Dolkstekelsglasvinge
Vanlig groda</t>
        </is>
      </c>
      <c r="S11">
        <f>HYPERLINK("https://klasma.github.io/Logging_1441/artfynd/A 2447-2023 artfynd.xlsx", "A 2447-2023")</f>
        <v/>
      </c>
      <c r="T11">
        <f>HYPERLINK("https://klasma.github.io/Logging_1441/kartor/A 2447-2023 karta.png", "A 2447-2023")</f>
        <v/>
      </c>
      <c r="V11">
        <f>HYPERLINK("https://klasma.github.io/Logging_1441/klagomål/A 2447-2023 FSC-klagomål.docx", "A 2447-2023")</f>
        <v/>
      </c>
      <c r="W11">
        <f>HYPERLINK("https://klasma.github.io/Logging_1441/klagomålsmail/A 2447-2023 FSC-klagomål mail.docx", "A 2447-2023")</f>
        <v/>
      </c>
      <c r="X11">
        <f>HYPERLINK("https://klasma.github.io/Logging_1441/tillsyn/A 2447-2023 tillsynsbegäran.docx", "A 2447-2023")</f>
        <v/>
      </c>
      <c r="Y11">
        <f>HYPERLINK("https://klasma.github.io/Logging_1441/tillsynsmail/A 2447-2023 tillsynsbegäran mail.docx", "A 2447-2023")</f>
        <v/>
      </c>
    </row>
    <row r="12" ht="15" customHeight="1">
      <c r="A12" t="inlineStr">
        <is>
          <t>A 64855-2023</t>
        </is>
      </c>
      <c r="B12" s="1" t="n">
        <v>45282</v>
      </c>
      <c r="C12" s="1" t="n">
        <v>45826</v>
      </c>
      <c r="D12" t="inlineStr">
        <is>
          <t>VÄSTRA GÖTALANDS LÄN</t>
        </is>
      </c>
      <c r="E12" t="inlineStr">
        <is>
          <t>LERUM</t>
        </is>
      </c>
      <c r="G12" t="n">
        <v>3.7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 taggsvamp</t>
        </is>
      </c>
      <c r="S12">
        <f>HYPERLINK("https://klasma.github.io/Logging_1441/artfynd/A 64855-2023 artfynd.xlsx", "A 64855-2023")</f>
        <v/>
      </c>
      <c r="T12">
        <f>HYPERLINK("https://klasma.github.io/Logging_1441/kartor/A 64855-2023 karta.png", "A 64855-2023")</f>
        <v/>
      </c>
      <c r="V12">
        <f>HYPERLINK("https://klasma.github.io/Logging_1441/klagomål/A 64855-2023 FSC-klagomål.docx", "A 64855-2023")</f>
        <v/>
      </c>
      <c r="W12">
        <f>HYPERLINK("https://klasma.github.io/Logging_1441/klagomålsmail/A 64855-2023 FSC-klagomål mail.docx", "A 64855-2023")</f>
        <v/>
      </c>
      <c r="X12">
        <f>HYPERLINK("https://klasma.github.io/Logging_1441/tillsyn/A 64855-2023 tillsynsbegäran.docx", "A 64855-2023")</f>
        <v/>
      </c>
      <c r="Y12">
        <f>HYPERLINK("https://klasma.github.io/Logging_1441/tillsynsmail/A 64855-2023 tillsynsbegäran mail.docx", "A 64855-2023")</f>
        <v/>
      </c>
      <c r="Z12">
        <f>HYPERLINK("https://klasma.github.io/Logging_1441/fåglar/A 64855-2023 prioriterade fågelarter.docx", "A 64855-2023")</f>
        <v/>
      </c>
    </row>
    <row r="13" ht="15" customHeight="1">
      <c r="A13" t="inlineStr">
        <is>
          <t>A 3543-2024</t>
        </is>
      </c>
      <c r="B13" s="1" t="n">
        <v>45320</v>
      </c>
      <c r="C13" s="1" t="n">
        <v>45826</v>
      </c>
      <c r="D13" t="inlineStr">
        <is>
          <t>VÄSTRA GÖTALANDS LÄN</t>
        </is>
      </c>
      <c r="E13" t="inlineStr">
        <is>
          <t>LERUM</t>
        </is>
      </c>
      <c r="G13" t="n">
        <v>3.9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Dolkstekelsglasvinge</t>
        </is>
      </c>
      <c r="S13">
        <f>HYPERLINK("https://klasma.github.io/Logging_1441/artfynd/A 3543-2024 artfynd.xlsx", "A 3543-2024")</f>
        <v/>
      </c>
      <c r="T13">
        <f>HYPERLINK("https://klasma.github.io/Logging_1441/kartor/A 3543-2024 karta.png", "A 3543-2024")</f>
        <v/>
      </c>
      <c r="V13">
        <f>HYPERLINK("https://klasma.github.io/Logging_1441/klagomål/A 3543-2024 FSC-klagomål.docx", "A 3543-2024")</f>
        <v/>
      </c>
      <c r="W13">
        <f>HYPERLINK("https://klasma.github.io/Logging_1441/klagomålsmail/A 3543-2024 FSC-klagomål mail.docx", "A 3543-2024")</f>
        <v/>
      </c>
      <c r="X13">
        <f>HYPERLINK("https://klasma.github.io/Logging_1441/tillsyn/A 3543-2024 tillsynsbegäran.docx", "A 3543-2024")</f>
        <v/>
      </c>
      <c r="Y13">
        <f>HYPERLINK("https://klasma.github.io/Logging_1441/tillsynsmail/A 3543-2024 tillsynsbegäran mail.docx", "A 3543-2024")</f>
        <v/>
      </c>
      <c r="Z13">
        <f>HYPERLINK("https://klasma.github.io/Logging_1441/fåglar/A 3543-2024 prioriterade fågelarter.docx", "A 3543-2024")</f>
        <v/>
      </c>
    </row>
    <row r="14" ht="15" customHeight="1">
      <c r="A14" t="inlineStr">
        <is>
          <t>A 4231-2020</t>
        </is>
      </c>
      <c r="B14" s="1" t="n">
        <v>43857</v>
      </c>
      <c r="C14" s="1" t="n">
        <v>45826</v>
      </c>
      <c r="D14" t="inlineStr">
        <is>
          <t>VÄSTRA GÖTALANDS LÄN</t>
        </is>
      </c>
      <c r="E14" t="inlineStr">
        <is>
          <t>LERUM</t>
        </is>
      </c>
      <c r="G14" t="n">
        <v>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HYPERLINK("https://klasma.github.io/Logging_1441/artfynd/A 4231-2020 artfynd.xlsx", "A 4231-2020")</f>
        <v/>
      </c>
      <c r="T14">
        <f>HYPERLINK("https://klasma.github.io/Logging_1441/kartor/A 4231-2020 karta.png", "A 4231-2020")</f>
        <v/>
      </c>
      <c r="V14">
        <f>HYPERLINK("https://klasma.github.io/Logging_1441/klagomål/A 4231-2020 FSC-klagomål.docx", "A 4231-2020")</f>
        <v/>
      </c>
      <c r="W14">
        <f>HYPERLINK("https://klasma.github.io/Logging_1441/klagomålsmail/A 4231-2020 FSC-klagomål mail.docx", "A 4231-2020")</f>
        <v/>
      </c>
      <c r="X14">
        <f>HYPERLINK("https://klasma.github.io/Logging_1441/tillsyn/A 4231-2020 tillsynsbegäran.docx", "A 4231-2020")</f>
        <v/>
      </c>
      <c r="Y14">
        <f>HYPERLINK("https://klasma.github.io/Logging_1441/tillsynsmail/A 4231-2020 tillsynsbegäran mail.docx", "A 4231-2020")</f>
        <v/>
      </c>
    </row>
    <row r="15" ht="15" customHeight="1">
      <c r="A15" t="inlineStr">
        <is>
          <t>A 40799-2020</t>
        </is>
      </c>
      <c r="B15" s="1" t="n">
        <v>44070</v>
      </c>
      <c r="C15" s="1" t="n">
        <v>45826</v>
      </c>
      <c r="D15" t="inlineStr">
        <is>
          <t>VÄSTRA GÖTALANDS LÄN</t>
        </is>
      </c>
      <c r="E15" t="inlineStr">
        <is>
          <t>LERUM</t>
        </is>
      </c>
      <c r="G15" t="n">
        <v>4.6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HYPERLINK("https://klasma.github.io/Logging_1441/artfynd/A 40799-2020 artfynd.xlsx", "A 40799-2020")</f>
        <v/>
      </c>
      <c r="T15">
        <f>HYPERLINK("https://klasma.github.io/Logging_1441/kartor/A 40799-2020 karta.png", "A 40799-2020")</f>
        <v/>
      </c>
      <c r="U15">
        <f>HYPERLINK("https://klasma.github.io/Logging_1441/knärot/A 40799-2020 karta knärot.png", "A 40799-2020")</f>
        <v/>
      </c>
      <c r="V15">
        <f>HYPERLINK("https://klasma.github.io/Logging_1441/klagomål/A 40799-2020 FSC-klagomål.docx", "A 40799-2020")</f>
        <v/>
      </c>
      <c r="W15">
        <f>HYPERLINK("https://klasma.github.io/Logging_1441/klagomålsmail/A 40799-2020 FSC-klagomål mail.docx", "A 40799-2020")</f>
        <v/>
      </c>
      <c r="X15">
        <f>HYPERLINK("https://klasma.github.io/Logging_1441/tillsyn/A 40799-2020 tillsynsbegäran.docx", "A 40799-2020")</f>
        <v/>
      </c>
      <c r="Y15">
        <f>HYPERLINK("https://klasma.github.io/Logging_1441/tillsynsmail/A 40799-2020 tillsynsbegäran mail.docx", "A 40799-2020")</f>
        <v/>
      </c>
    </row>
    <row r="16" ht="15" customHeight="1">
      <c r="A16" t="inlineStr">
        <is>
          <t>A 15136-2022</t>
        </is>
      </c>
      <c r="B16" s="1" t="n">
        <v>44658</v>
      </c>
      <c r="C16" s="1" t="n">
        <v>45826</v>
      </c>
      <c r="D16" t="inlineStr">
        <is>
          <t>VÄSTRA GÖTALANDS LÄN</t>
        </is>
      </c>
      <c r="E16" t="inlineStr">
        <is>
          <t>LERUM</t>
        </is>
      </c>
      <c r="G16" t="n">
        <v>0.4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HYPERLINK("https://klasma.github.io/Logging_1441/artfynd/A 15136-2022 artfynd.xlsx", "A 15136-2022")</f>
        <v/>
      </c>
      <c r="T16">
        <f>HYPERLINK("https://klasma.github.io/Logging_1441/kartor/A 15136-2022 karta.png", "A 15136-2022")</f>
        <v/>
      </c>
      <c r="V16">
        <f>HYPERLINK("https://klasma.github.io/Logging_1441/klagomål/A 15136-2022 FSC-klagomål.docx", "A 15136-2022")</f>
        <v/>
      </c>
      <c r="W16">
        <f>HYPERLINK("https://klasma.github.io/Logging_1441/klagomålsmail/A 15136-2022 FSC-klagomål mail.docx", "A 15136-2022")</f>
        <v/>
      </c>
      <c r="X16">
        <f>HYPERLINK("https://klasma.github.io/Logging_1441/tillsyn/A 15136-2022 tillsynsbegäran.docx", "A 15136-2022")</f>
        <v/>
      </c>
      <c r="Y16">
        <f>HYPERLINK("https://klasma.github.io/Logging_1441/tillsynsmail/A 15136-2022 tillsynsbegäran mail.docx", "A 15136-2022")</f>
        <v/>
      </c>
      <c r="Z16">
        <f>HYPERLINK("https://klasma.github.io/Logging_1441/fåglar/A 15136-2022 prioriterade fågelarter.docx", "A 15136-2022")</f>
        <v/>
      </c>
    </row>
    <row r="17" ht="15" customHeight="1">
      <c r="A17" t="inlineStr">
        <is>
          <t>A 52973-2022</t>
        </is>
      </c>
      <c r="B17" s="1" t="n">
        <v>44875</v>
      </c>
      <c r="C17" s="1" t="n">
        <v>45826</v>
      </c>
      <c r="D17" t="inlineStr">
        <is>
          <t>VÄSTRA GÖTALANDS LÄN</t>
        </is>
      </c>
      <c r="E17" t="inlineStr">
        <is>
          <t>LERUM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HYPERLINK("https://klasma.github.io/Logging_1441/artfynd/A 52973-2022 artfynd.xlsx", "A 52973-2022")</f>
        <v/>
      </c>
      <c r="T17">
        <f>HYPERLINK("https://klasma.github.io/Logging_1441/kartor/A 52973-2022 karta.png", "A 52973-2022")</f>
        <v/>
      </c>
      <c r="V17">
        <f>HYPERLINK("https://klasma.github.io/Logging_1441/klagomål/A 52973-2022 FSC-klagomål.docx", "A 52973-2022")</f>
        <v/>
      </c>
      <c r="W17">
        <f>HYPERLINK("https://klasma.github.io/Logging_1441/klagomålsmail/A 52973-2022 FSC-klagomål mail.docx", "A 52973-2022")</f>
        <v/>
      </c>
      <c r="X17">
        <f>HYPERLINK("https://klasma.github.io/Logging_1441/tillsyn/A 52973-2022 tillsynsbegäran.docx", "A 52973-2022")</f>
        <v/>
      </c>
      <c r="Y17">
        <f>HYPERLINK("https://klasma.github.io/Logging_1441/tillsynsmail/A 52973-2022 tillsynsbegäran mail.docx", "A 52973-2022")</f>
        <v/>
      </c>
    </row>
    <row r="18" ht="15" customHeight="1">
      <c r="A18" t="inlineStr">
        <is>
          <t>A 56911-2022</t>
        </is>
      </c>
      <c r="B18" s="1" t="n">
        <v>44894</v>
      </c>
      <c r="C18" s="1" t="n">
        <v>45826</v>
      </c>
      <c r="D18" t="inlineStr">
        <is>
          <t>VÄSTRA GÖTALANDS LÄN</t>
        </is>
      </c>
      <c r="E18" t="inlineStr">
        <is>
          <t>LERUM</t>
        </is>
      </c>
      <c r="G18" t="n">
        <v>1.9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HYPERLINK("https://klasma.github.io/Logging_1441/artfynd/A 56911-2022 artfynd.xlsx", "A 56911-2022")</f>
        <v/>
      </c>
      <c r="T18">
        <f>HYPERLINK("https://klasma.github.io/Logging_1441/kartor/A 56911-2022 karta.png", "A 56911-2022")</f>
        <v/>
      </c>
      <c r="V18">
        <f>HYPERLINK("https://klasma.github.io/Logging_1441/klagomål/A 56911-2022 FSC-klagomål.docx", "A 56911-2022")</f>
        <v/>
      </c>
      <c r="W18">
        <f>HYPERLINK("https://klasma.github.io/Logging_1441/klagomålsmail/A 56911-2022 FSC-klagomål mail.docx", "A 56911-2022")</f>
        <v/>
      </c>
      <c r="X18">
        <f>HYPERLINK("https://klasma.github.io/Logging_1441/tillsyn/A 56911-2022 tillsynsbegäran.docx", "A 56911-2022")</f>
        <v/>
      </c>
      <c r="Y18">
        <f>HYPERLINK("https://klasma.github.io/Logging_1441/tillsynsmail/A 56911-2022 tillsynsbegäran mail.docx", "A 56911-2022")</f>
        <v/>
      </c>
      <c r="Z18">
        <f>HYPERLINK("https://klasma.github.io/Logging_1441/fåglar/A 56911-2022 prioriterade fågelarter.docx", "A 56911-2022")</f>
        <v/>
      </c>
    </row>
    <row r="19" ht="15" customHeight="1">
      <c r="A19" t="inlineStr">
        <is>
          <t>A 2438-2023</t>
        </is>
      </c>
      <c r="B19" s="1" t="n">
        <v>44943</v>
      </c>
      <c r="C19" s="1" t="n">
        <v>45826</v>
      </c>
      <c r="D19" t="inlineStr">
        <is>
          <t>VÄSTRA GÖTALANDS LÄN</t>
        </is>
      </c>
      <c r="E19" t="inlineStr">
        <is>
          <t>LERUM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HYPERLINK("https://klasma.github.io/Logging_1441/artfynd/A 2438-2023 artfynd.xlsx", "A 2438-2023")</f>
        <v/>
      </c>
      <c r="T19">
        <f>HYPERLINK("https://klasma.github.io/Logging_1441/kartor/A 2438-2023 karta.png", "A 2438-2023")</f>
        <v/>
      </c>
      <c r="V19">
        <f>HYPERLINK("https://klasma.github.io/Logging_1441/klagomål/A 2438-2023 FSC-klagomål.docx", "A 2438-2023")</f>
        <v/>
      </c>
      <c r="W19">
        <f>HYPERLINK("https://klasma.github.io/Logging_1441/klagomålsmail/A 2438-2023 FSC-klagomål mail.docx", "A 2438-2023")</f>
        <v/>
      </c>
      <c r="X19">
        <f>HYPERLINK("https://klasma.github.io/Logging_1441/tillsyn/A 2438-2023 tillsynsbegäran.docx", "A 2438-2023")</f>
        <v/>
      </c>
      <c r="Y19">
        <f>HYPERLINK("https://klasma.github.io/Logging_1441/tillsynsmail/A 2438-2023 tillsynsbegäran mail.docx", "A 2438-2023")</f>
        <v/>
      </c>
    </row>
    <row r="20" ht="15" customHeight="1">
      <c r="A20" t="inlineStr">
        <is>
          <t>A 2443-2023</t>
        </is>
      </c>
      <c r="B20" s="1" t="n">
        <v>44943</v>
      </c>
      <c r="C20" s="1" t="n">
        <v>45826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2443-2023 artfynd.xlsx", "A 2443-2023")</f>
        <v/>
      </c>
      <c r="T20">
        <f>HYPERLINK("https://klasma.github.io/Logging_1441/kartor/A 2443-2023 karta.png", "A 2443-2023")</f>
        <v/>
      </c>
      <c r="V20">
        <f>HYPERLINK("https://klasma.github.io/Logging_1441/klagomål/A 2443-2023 FSC-klagomål.docx", "A 2443-2023")</f>
        <v/>
      </c>
      <c r="W20">
        <f>HYPERLINK("https://klasma.github.io/Logging_1441/klagomålsmail/A 2443-2023 FSC-klagomål mail.docx", "A 2443-2023")</f>
        <v/>
      </c>
      <c r="X20">
        <f>HYPERLINK("https://klasma.github.io/Logging_1441/tillsyn/A 2443-2023 tillsynsbegäran.docx", "A 2443-2023")</f>
        <v/>
      </c>
      <c r="Y20">
        <f>HYPERLINK("https://klasma.github.io/Logging_1441/tillsynsmail/A 2443-2023 tillsynsbegäran mail.docx", "A 2443-2023")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45826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45826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45826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45826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45826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45826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45826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45826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45826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45826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45826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45826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45826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45826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45826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45826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45826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45826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45826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45826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45826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45826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45826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45826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45826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45826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45826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45826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45826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45826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45826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45826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45826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45826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45826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45826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45826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45826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45826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45826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45826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45826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45826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45826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45826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45826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45826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45826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45826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45826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45826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45826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45826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45826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45826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45826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45826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45826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45826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45826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45826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45826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45826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45826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45826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45826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45826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45826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45826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45826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45826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45826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45826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45826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45826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45826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45826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45826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45826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45826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45826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45826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45826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45826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45826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45826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45826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45826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45826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45826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45826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45826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45826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45826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45826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45826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45826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45826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45826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45826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45826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45826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45826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45826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45826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45826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45826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45826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45826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45826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45826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45826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45826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45826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45826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45826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45826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45826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45826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45826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45826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45826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45826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45826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45826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45826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45826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45826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45826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45826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45826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45826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45826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45826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45826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45826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45826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45826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45826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45826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45826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45826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45826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45826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45826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45826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45826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45826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45826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45826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45826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45826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45826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45826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45826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45826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45826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45826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45826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45826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45826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45826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45826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45826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45826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45826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45826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45826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45826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45826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45826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45826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45826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45826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45826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45826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45826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45826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45826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45826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18151-2025</t>
        </is>
      </c>
      <c r="B201" s="1" t="n">
        <v>45761</v>
      </c>
      <c r="C201" s="1" t="n">
        <v>45826</v>
      </c>
      <c r="D201" t="inlineStr">
        <is>
          <t>VÄSTRA GÖTALANDS LÄN</t>
        </is>
      </c>
      <c r="E201" t="inlineStr">
        <is>
          <t>LERUM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18161-2025</t>
        </is>
      </c>
      <c r="B202" s="1" t="n">
        <v>45761</v>
      </c>
      <c r="C202" s="1" t="n">
        <v>45826</v>
      </c>
      <c r="D202" t="inlineStr">
        <is>
          <t>VÄSTRA GÖTALANDS LÄN</t>
        </is>
      </c>
      <c r="E202" t="inlineStr">
        <is>
          <t>LERUM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18944-2025</t>
        </is>
      </c>
      <c r="B203" s="1" t="n">
        <v>45764</v>
      </c>
      <c r="C203" s="1" t="n">
        <v>45826</v>
      </c>
      <c r="D203" t="inlineStr">
        <is>
          <t>VÄSTRA GÖTALANDS LÄN</t>
        </is>
      </c>
      <c r="E203" t="inlineStr">
        <is>
          <t>LERUM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26073-2025</t>
        </is>
      </c>
      <c r="B204" s="1" t="n">
        <v>45805</v>
      </c>
      <c r="C204" s="1" t="n">
        <v>45826</v>
      </c>
      <c r="D204" t="inlineStr">
        <is>
          <t>VÄSTRA GÖTALANDS LÄN</t>
        </is>
      </c>
      <c r="E204" t="inlineStr">
        <is>
          <t>LERUM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27367-2025</t>
        </is>
      </c>
      <c r="B205" s="1" t="n">
        <v>45812</v>
      </c>
      <c r="C205" s="1" t="n">
        <v>45826</v>
      </c>
      <c r="D205" t="inlineStr">
        <is>
          <t>VÄSTRA GÖTALANDS LÄN</t>
        </is>
      </c>
      <c r="E205" t="inlineStr">
        <is>
          <t>LERUM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28029-2025</t>
        </is>
      </c>
      <c r="B206" s="1" t="n">
        <v>45817</v>
      </c>
      <c r="C206" s="1" t="n">
        <v>45826</v>
      </c>
      <c r="D206" t="inlineStr">
        <is>
          <t>VÄSTRA GÖTALANDS LÄN</t>
        </is>
      </c>
      <c r="E206" t="inlineStr">
        <is>
          <t>LERUM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28053-2025</t>
        </is>
      </c>
      <c r="B207" s="1" t="n">
        <v>45817</v>
      </c>
      <c r="C207" s="1" t="n">
        <v>45826</v>
      </c>
      <c r="D207" t="inlineStr">
        <is>
          <t>VÄSTRA GÖTALANDS LÄN</t>
        </is>
      </c>
      <c r="E207" t="inlineStr">
        <is>
          <t>LERUM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29394-2025</t>
        </is>
      </c>
      <c r="B208" s="1" t="n">
        <v>45824</v>
      </c>
      <c r="C208" s="1" t="n">
        <v>45826</v>
      </c>
      <c r="D208" t="inlineStr">
        <is>
          <t>VÄSTRA GÖTALANDS LÄN</t>
        </is>
      </c>
      <c r="E208" t="inlineStr">
        <is>
          <t>LERUM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2025-06-18T18:49:00Z</dcterms:created>
  <dcterms:modified xmlns:dcterms="http://purl.org/dc/terms/" xmlns:xsi="http://www.w3.org/2001/XMLSchema-instance" xsi:type="dcterms:W3CDTF">2025-06-18T18:49:01Z</dcterms:modified>
</cp:coreProperties>
</file>