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46268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46268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46268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46268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46268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46268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46268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46268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46268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46268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46268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46268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46268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46268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46268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46268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64855-2023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46268</v>
      </c>
      <c r="F18" t="inlineStr">
        <is>
          <t>VÄSTRA GÖTALANDS LÄN</t>
        </is>
      </c>
      <c r="G18" t="inlineStr">
        <is>
          <t>LERUM</t>
        </is>
      </c>
      <c r="I18" t="n">
        <v>3.7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HYPERLINK("https://klasma.github.io/Logging_1441/artfynd/A 64855-2023 artfynd.xlsx", "A 64855-2023")</f>
        <v/>
      </c>
      <c r="X18">
        <f>HYPERLINK("https://klasma.github.io/Logging_1441/kartor/A 64855-2023 karta.png", "A 64855-2023")</f>
        <v/>
      </c>
      <c r="Y18">
        <f>HYPERLINK("https://klasma.github.io/Logging_1441/kartor_geotiff/A 64855-2023 georefererad karta.tif", "A 64855-2023")</f>
        <v/>
      </c>
      <c r="AA18">
        <f>HYPERLINK("https://klasma.github.io/Logging_1441/klagomål/A 64855-2023 FSC-klagomål.docx", "A 64855-2023")</f>
        <v/>
      </c>
      <c r="AB18">
        <f>HYPERLINK("https://klasma.github.io/Logging_1441/klagomålsmail/A 64855-2023 FSC-klagomål mail.docx", "A 64855-2023")</f>
        <v/>
      </c>
      <c r="AC18">
        <f>HYPERLINK("https://klasma.github.io/Logging_1441/tillsyn/A 64855-2023 tillsynsbegäran.docx", "A 64855-2023")</f>
        <v/>
      </c>
      <c r="AD18">
        <f>HYPERLINK("https://klasma.github.io/Logging_1441/tillsynsmail/A 64855-2023 tillsynsbegäran mail.docx", "A 64855-2023")</f>
        <v/>
      </c>
      <c r="AE18">
        <f>HYPERLINK("https://klasma.github.io/Logging_1441/fåglar/A 64855-2023 prioriterade fågelarter.docx", "A 64855-2023")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46268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46268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46268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46268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46268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46268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46268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46268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46268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46268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46268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46268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46268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46268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46268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46268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46268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46268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46268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46268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46268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46268</v>
      </c>
      <c r="F40" t="inlineStr">
        <is>
          <t>VÄSTRA GÖTALANDS LÄN</t>
        </is>
      </c>
      <c r="G40" t="inlineStr">
        <is>
          <t>LERUM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46268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46268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45055</v>
      </c>
      <c r="E43" s="1" t="n">
        <v>46268</v>
      </c>
      <c r="F43" t="inlineStr">
        <is>
          <t>VÄSTRA GÖTALANDS LÄN</t>
        </is>
      </c>
      <c r="G43" t="inlineStr">
        <is>
          <t>LERUM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46034</v>
      </c>
      <c r="E44" s="1" t="n">
        <v>46268</v>
      </c>
      <c r="F44" t="inlineStr">
        <is>
          <t>VÄSTRA GÖTALANDS LÄN</t>
        </is>
      </c>
      <c r="G44" t="inlineStr">
        <is>
          <t>LERUM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27367-2025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45812</v>
      </c>
      <c r="E45" s="1" t="n">
        <v>46268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46268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46268</v>
      </c>
      <c r="F47" t="inlineStr">
        <is>
          <t>VÄSTRA GÖTALANDS LÄN</t>
        </is>
      </c>
      <c r="G47" t="inlineStr">
        <is>
          <t>LERUM</t>
        </is>
      </c>
      <c r="I47" t="n">
        <v>7.4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45897</v>
      </c>
      <c r="E48" s="1" t="n">
        <v>46268</v>
      </c>
      <c r="F48" t="inlineStr">
        <is>
          <t>VÄSTRA GÖTALANDS LÄN</t>
        </is>
      </c>
      <c r="G48" t="inlineStr">
        <is>
          <t>LERUM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46268</v>
      </c>
      <c r="F49" t="inlineStr">
        <is>
          <t>VÄSTRA GÖTALANDS LÄN</t>
        </is>
      </c>
      <c r="G49" t="inlineStr">
        <is>
          <t>LERUM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46268</v>
      </c>
      <c r="F50" t="inlineStr">
        <is>
          <t>VÄSTRA GÖTALANDS LÄN</t>
        </is>
      </c>
      <c r="G50" t="inlineStr">
        <is>
          <t>LERUM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46268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46268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46268</v>
      </c>
      <c r="F53" t="inlineStr">
        <is>
          <t>VÄSTRA GÖTALANDS LÄN</t>
        </is>
      </c>
      <c r="G53" t="inlineStr">
        <is>
          <t>LERUM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46268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46268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46957-2025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45929</v>
      </c>
      <c r="E56" s="1" t="n">
        <v>46268</v>
      </c>
      <c r="F56" t="inlineStr">
        <is>
          <t>VÄSTRA GÖTALANDS LÄN</t>
        </is>
      </c>
      <c r="G56" t="inlineStr">
        <is>
          <t>LERUM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50397-2023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45216</v>
      </c>
      <c r="E57" s="1" t="n">
        <v>46268</v>
      </c>
      <c r="F57" t="inlineStr">
        <is>
          <t>VÄSTRA GÖTALANDS LÄN</t>
        </is>
      </c>
      <c r="G57" t="inlineStr">
        <is>
          <t>LERUM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46268</v>
      </c>
      <c r="F58" t="inlineStr">
        <is>
          <t>VÄSTRA GÖTALANDS LÄN</t>
        </is>
      </c>
      <c r="G58" t="inlineStr">
        <is>
          <t>LERUM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46268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46268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45350</v>
      </c>
      <c r="E61" s="1" t="n">
        <v>46268</v>
      </c>
      <c r="F61" t="inlineStr">
        <is>
          <t>VÄSTRA GÖTALANDS LÄN</t>
        </is>
      </c>
      <c r="G61" t="inlineStr">
        <is>
          <t>LERUM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46268</v>
      </c>
      <c r="F62" t="inlineStr">
        <is>
          <t>VÄSTRA GÖTALANDS LÄN</t>
        </is>
      </c>
      <c r="G62" t="inlineStr">
        <is>
          <t>LERUM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46268</v>
      </c>
      <c r="F63" t="inlineStr">
        <is>
          <t>VÄSTRA GÖTALANDS LÄN</t>
        </is>
      </c>
      <c r="G63" t="inlineStr">
        <is>
          <t>LERUM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46268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46268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46268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46268</v>
      </c>
      <c r="F67" t="inlineStr">
        <is>
          <t>VÄSTRA GÖTALANDS LÄN</t>
        </is>
      </c>
      <c r="G67" t="inlineStr">
        <is>
          <t>LERUM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46268</v>
      </c>
      <c r="F68" t="inlineStr">
        <is>
          <t>VÄSTRA GÖTALANDS LÄN</t>
        </is>
      </c>
      <c r="G68" t="inlineStr">
        <is>
          <t>LERUM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46268</v>
      </c>
      <c r="F69" t="inlineStr">
        <is>
          <t>VÄSTRA GÖTALANDS LÄN</t>
        </is>
      </c>
      <c r="G69" t="inlineStr">
        <is>
          <t>LERUM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46268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46268</v>
      </c>
      <c r="F71" t="inlineStr">
        <is>
          <t>VÄSTRA GÖTALANDS LÄN</t>
        </is>
      </c>
      <c r="G71" t="inlineStr">
        <is>
          <t>LERUM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46268</v>
      </c>
      <c r="F72" t="inlineStr">
        <is>
          <t>VÄSTRA GÖTALANDS LÄN</t>
        </is>
      </c>
      <c r="G72" t="inlineStr">
        <is>
          <t>LERUM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50405-2023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46268</v>
      </c>
      <c r="F73" t="inlineStr">
        <is>
          <t>VÄSTRA GÖTALANDS LÄN</t>
        </is>
      </c>
      <c r="G73" t="inlineStr">
        <is>
          <t>LERUM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46268</v>
      </c>
      <c r="F74" t="inlineStr">
        <is>
          <t>VÄSTRA GÖTALANDS LÄN</t>
        </is>
      </c>
      <c r="G74" t="inlineStr">
        <is>
          <t>LERUM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11232-2025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45726</v>
      </c>
      <c r="E75" s="1" t="n">
        <v>46268</v>
      </c>
      <c r="F75" t="inlineStr">
        <is>
          <t>VÄSTRA GÖTALANDS LÄN</t>
        </is>
      </c>
      <c r="G75" t="inlineStr">
        <is>
          <t>LERUM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46268</v>
      </c>
      <c r="F76" t="inlineStr">
        <is>
          <t>VÄSTRA GÖTALANDS LÄN</t>
        </is>
      </c>
      <c r="G76" t="inlineStr">
        <is>
          <t>LERUM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44828</v>
      </c>
      <c r="E77" s="1" t="n">
        <v>46268</v>
      </c>
      <c r="F77" t="inlineStr">
        <is>
          <t>VÄSTRA GÖTALANDS LÄN</t>
        </is>
      </c>
      <c r="G77" t="inlineStr">
        <is>
          <t>LERUM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46268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46268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46268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46268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46268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46268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46268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46268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46268</v>
      </c>
      <c r="F86" t="inlineStr">
        <is>
          <t>VÄSTRA GÖTALANDS LÄN</t>
        </is>
      </c>
      <c r="G86" t="inlineStr">
        <is>
          <t>LERUM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46268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45345</v>
      </c>
      <c r="E88" s="1" t="n">
        <v>46268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46268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44704</v>
      </c>
      <c r="E90" s="1" t="n">
        <v>46268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46268</v>
      </c>
      <c r="F91" t="inlineStr">
        <is>
          <t>VÄSTRA GÖTALANDS LÄN</t>
        </is>
      </c>
      <c r="G91" t="inlineStr">
        <is>
          <t>LERUM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22300-2022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44712</v>
      </c>
      <c r="E92" s="1" t="n">
        <v>46268</v>
      </c>
      <c r="F92" t="inlineStr">
        <is>
          <t>VÄSTRA GÖTALANDS LÄN</t>
        </is>
      </c>
      <c r="G92" t="inlineStr">
        <is>
          <t>LERUM</t>
        </is>
      </c>
      <c r="I92" t="n">
        <v>23.3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46268</v>
      </c>
      <c r="F93" t="inlineStr">
        <is>
          <t>VÄSTRA GÖTALANDS LÄN</t>
        </is>
      </c>
      <c r="G93" t="inlineStr">
        <is>
          <t>LERUM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46268</v>
      </c>
      <c r="F94" t="inlineStr">
        <is>
          <t>VÄSTRA GÖTALANDS LÄN</t>
        </is>
      </c>
      <c r="G94" t="inlineStr">
        <is>
          <t>LERUM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46268</v>
      </c>
      <c r="F95" t="inlineStr">
        <is>
          <t>VÄSTRA GÖTALANDS LÄN</t>
        </is>
      </c>
      <c r="G95" t="inlineStr">
        <is>
          <t>LERUM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31687-2025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46268</v>
      </c>
      <c r="F96" t="inlineStr">
        <is>
          <t>VÄSTRA GÖTALANDS LÄN</t>
        </is>
      </c>
      <c r="G96" t="inlineStr">
        <is>
          <t>LERUM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46268</v>
      </c>
      <c r="F97" t="inlineStr">
        <is>
          <t>VÄSTRA GÖTALANDS LÄN</t>
        </is>
      </c>
      <c r="G97" t="inlineStr">
        <is>
          <t>LERUM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46268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45723</v>
      </c>
      <c r="E99" s="1" t="n">
        <v>46268</v>
      </c>
      <c r="F99" t="inlineStr">
        <is>
          <t>VÄSTRA GÖTALANDS LÄN</t>
        </is>
      </c>
      <c r="G99" t="inlineStr">
        <is>
          <t>LERUM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24163-2024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45441</v>
      </c>
      <c r="E100" s="1" t="n">
        <v>46268</v>
      </c>
      <c r="F100" t="inlineStr">
        <is>
          <t>VÄSTRA GÖTALANDS LÄN</t>
        </is>
      </c>
      <c r="G100" t="inlineStr">
        <is>
          <t>LERUM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46268</v>
      </c>
      <c r="F101" t="inlineStr">
        <is>
          <t>VÄSTRA GÖTALANDS LÄN</t>
        </is>
      </c>
      <c r="G101" t="inlineStr">
        <is>
          <t>LERUM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45392</v>
      </c>
      <c r="E102" s="1" t="n">
        <v>46268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44959</v>
      </c>
      <c r="E103" s="1" t="n">
        <v>46268</v>
      </c>
      <c r="F103" t="inlineStr">
        <is>
          <t>VÄSTRA GÖTALANDS LÄN</t>
        </is>
      </c>
      <c r="G103" t="inlineStr">
        <is>
          <t>LERUM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46268</v>
      </c>
      <c r="F104" t="inlineStr">
        <is>
          <t>VÄSTRA GÖTALANDS LÄN</t>
        </is>
      </c>
      <c r="G104" t="inlineStr">
        <is>
          <t>LERUM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46268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46268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46268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46268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46268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16648-2023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46268</v>
      </c>
      <c r="F110" t="inlineStr">
        <is>
          <t>VÄSTRA GÖTALANDS LÄN</t>
        </is>
      </c>
      <c r="G110" t="inlineStr">
        <is>
          <t>LERUM</t>
        </is>
      </c>
      <c r="H110" t="inlineStr">
        <is>
          <t>Kyrkan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46206</v>
      </c>
      <c r="E111" s="1" t="n">
        <v>46268</v>
      </c>
      <c r="F111" t="inlineStr">
        <is>
          <t>VÄSTRA GÖTALANDS LÄN</t>
        </is>
      </c>
      <c r="G111" t="inlineStr">
        <is>
          <t>LERUM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46268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46268</v>
      </c>
      <c r="F113" t="inlineStr">
        <is>
          <t>VÄSTRA GÖTALANDS LÄN</t>
        </is>
      </c>
      <c r="G113" t="inlineStr">
        <is>
          <t>LERUM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44710</v>
      </c>
      <c r="E114" s="1" t="n">
        <v>46268</v>
      </c>
      <c r="F114" t="inlineStr">
        <is>
          <t>VÄSTRA GÖTALANDS LÄN</t>
        </is>
      </c>
      <c r="G114" t="inlineStr">
        <is>
          <t>LERUM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46268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46268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2026-09-03T02:09:46Z</dcterms:created>
  <dcterms:modified xmlns:dcterms="http://purl.org/dc/terms/" xmlns:xsi="http://www.w3.org/2001/XMLSchema-instance" xsi:type="dcterms:W3CDTF">2026-09-03T02:09:46Z</dcterms:modified>
</cp:coreProperties>
</file>