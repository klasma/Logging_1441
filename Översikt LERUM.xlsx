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46221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s="2" t="inlineStr">
        <is>
          <t>Ädelguldbagge
Älg
Björksplintborre
Blåmossa
Vanlig groda
Revlummer</t>
        </is>
      </c>
      <c r="V2">
        <f>HYPERLINK("https://klasma.github.io/Logging_1441/artfynd/A 2440-2023 artfynd.xlsx", "A 2440-2023")</f>
        <v/>
      </c>
      <c r="W2">
        <f>HYPERLINK("https://klasma.github.io/Logging_1441/kartor/A 2440-2023 karta.png", "A 2440-2023")</f>
        <v/>
      </c>
      <c r="Y2">
        <f>HYPERLINK("https://klasma.github.io/Logging_1441/klagomål/A 2440-2023 FSC-klagomål.docx", "A 2440-2023")</f>
        <v/>
      </c>
      <c r="Z2">
        <f>HYPERLINK("https://klasma.github.io/Logging_1441/klagomålsmail/A 2440-2023 FSC-klagomål mail.docx", "A 2440-2023")</f>
        <v/>
      </c>
      <c r="AA2">
        <f>HYPERLINK("https://klasma.github.io/Logging_1441/tillsyn/A 2440-2023 tillsynsbegäran.docx", "A 2440-2023")</f>
        <v/>
      </c>
      <c r="AB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46221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s="2" t="inlineStr">
        <is>
          <t>Ask
Grönfink
Mindre hackspett
Näktergal
Huggorm</t>
        </is>
      </c>
      <c r="V3">
        <f>HYPERLINK("https://klasma.github.io/Logging_1441/artfynd/A 14442-2025 artfynd.xlsx", "A 14442-2025")</f>
        <v/>
      </c>
      <c r="W3">
        <f>HYPERLINK("https://klasma.github.io/Logging_1441/kartor/A 14442-2025 karta.png", "A 14442-2025")</f>
        <v/>
      </c>
      <c r="Y3">
        <f>HYPERLINK("https://klasma.github.io/Logging_1441/klagomål/A 14442-2025 FSC-klagomål.docx", "A 14442-2025")</f>
        <v/>
      </c>
      <c r="Z3">
        <f>HYPERLINK("https://klasma.github.io/Logging_1441/klagomålsmail/A 14442-2025 FSC-klagomål mail.docx", "A 14442-2025")</f>
        <v/>
      </c>
      <c r="AA3">
        <f>HYPERLINK("https://klasma.github.io/Logging_1441/tillsyn/A 14442-2025 tillsynsbegäran.docx", "A 14442-2025")</f>
        <v/>
      </c>
      <c r="AB3">
        <f>HYPERLINK("https://klasma.github.io/Logging_1441/tillsynsmail/A 14442-2025 tillsynsbegäran mail.docx", "A 14442-2025")</f>
        <v/>
      </c>
      <c r="AC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46221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s="2" t="inlineStr">
        <is>
          <t>Grönhjon
Dolkstekelsglasvinge
Spillkråka
Huggorm</t>
        </is>
      </c>
      <c r="V4">
        <f>HYPERLINK("https://klasma.github.io/Logging_1441/artfynd/A 3543-2024 artfynd.xlsx", "A 3543-2024")</f>
        <v/>
      </c>
      <c r="W4">
        <f>HYPERLINK("https://klasma.github.io/Logging_1441/kartor/A 3543-2024 karta.png", "A 3543-2024")</f>
        <v/>
      </c>
      <c r="Y4">
        <f>HYPERLINK("https://klasma.github.io/Logging_1441/klagomål/A 3543-2024 FSC-klagomål.docx", "A 3543-2024")</f>
        <v/>
      </c>
      <c r="Z4">
        <f>HYPERLINK("https://klasma.github.io/Logging_1441/klagomålsmail/A 3543-2024 FSC-klagomål mail.docx", "A 3543-2024")</f>
        <v/>
      </c>
      <c r="AA4">
        <f>HYPERLINK("https://klasma.github.io/Logging_1441/tillsyn/A 3543-2024 tillsynsbegäran.docx", "A 3543-2024")</f>
        <v/>
      </c>
      <c r="AB4">
        <f>HYPERLINK("https://klasma.github.io/Logging_1441/tillsynsmail/A 3543-2024 tillsynsbegäran mail.docx", "A 3543-2024")</f>
        <v/>
      </c>
      <c r="AC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46221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s="2" t="inlineStr">
        <is>
          <t>Ask
Björksplintborre
Vanlig groda
Revlummer</t>
        </is>
      </c>
      <c r="V5">
        <f>HYPERLINK("https://klasma.github.io/Logging_1441/artfynd/A 28233-2022 artfynd.xlsx", "A 28233-2022")</f>
        <v/>
      </c>
      <c r="W5">
        <f>HYPERLINK("https://klasma.github.io/Logging_1441/kartor/A 28233-2022 karta.png", "A 28233-2022")</f>
        <v/>
      </c>
      <c r="Y5">
        <f>HYPERLINK("https://klasma.github.io/Logging_1441/klagomål/A 28233-2022 FSC-klagomål.docx", "A 28233-2022")</f>
        <v/>
      </c>
      <c r="Z5">
        <f>HYPERLINK("https://klasma.github.io/Logging_1441/klagomålsmail/A 28233-2022 FSC-klagomål mail.docx", "A 28233-2022")</f>
        <v/>
      </c>
      <c r="AA5">
        <f>HYPERLINK("https://klasma.github.io/Logging_1441/tillsyn/A 28233-2022 tillsynsbegäran.docx", "A 28233-2022")</f>
        <v/>
      </c>
      <c r="AB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46221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s="2" t="inlineStr">
        <is>
          <t>Björksplintborre
Större brunfladdermus
Vanlig padda
Vanlig snok</t>
        </is>
      </c>
      <c r="V6">
        <f>HYPERLINK("https://klasma.github.io/Logging_1441/artfynd/A 2443-2023 artfynd.xlsx", "A 2443-2023")</f>
        <v/>
      </c>
      <c r="W6">
        <f>HYPERLINK("https://klasma.github.io/Logging_1441/kartor/A 2443-2023 karta.png", "A 2443-2023")</f>
        <v/>
      </c>
      <c r="Y6">
        <f>HYPERLINK("https://klasma.github.io/Logging_1441/klagomål/A 2443-2023 FSC-klagomål.docx", "A 2443-2023")</f>
        <v/>
      </c>
      <c r="Z6">
        <f>HYPERLINK("https://klasma.github.io/Logging_1441/klagomålsmail/A 2443-2023 FSC-klagomål mail.docx", "A 2443-2023")</f>
        <v/>
      </c>
      <c r="AA6">
        <f>HYPERLINK("https://klasma.github.io/Logging_1441/tillsyn/A 2443-2023 tillsynsbegäran.docx", "A 2443-2023")</f>
        <v/>
      </c>
      <c r="AB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46221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Blåmossa
Stor revmossa
Västlig hakmossa</t>
        </is>
      </c>
      <c r="V7">
        <f>HYPERLINK("https://klasma.github.io/Logging_1441/artfynd/A 55111-2025 artfynd.xlsx", "A 55111-2025")</f>
        <v/>
      </c>
      <c r="W7">
        <f>HYPERLINK("https://klasma.github.io/Logging_1441/kartor/A 55111-2025 karta.png", "A 55111-2025")</f>
        <v/>
      </c>
      <c r="Y7">
        <f>HYPERLINK("https://klasma.github.io/Logging_1441/klagomål/A 55111-2025 FSC-klagomål.docx", "A 55111-2025")</f>
        <v/>
      </c>
      <c r="Z7">
        <f>HYPERLINK("https://klasma.github.io/Logging_1441/klagomålsmail/A 55111-2025 FSC-klagomål mail.docx", "A 55111-2025")</f>
        <v/>
      </c>
      <c r="AA7">
        <f>HYPERLINK("https://klasma.github.io/Logging_1441/tillsyn/A 55111-2025 tillsynsbegäran.docx", "A 55111-2025")</f>
        <v/>
      </c>
      <c r="AB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46221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Havstulpanlav
Stubbspretmossa
Mattlummer</t>
        </is>
      </c>
      <c r="V8">
        <f>HYPERLINK("https://klasma.github.io/Logging_1441/artfynd/A 22268-2022 artfynd.xlsx", "A 22268-2022")</f>
        <v/>
      </c>
      <c r="W8">
        <f>HYPERLINK("https://klasma.github.io/Logging_1441/kartor/A 22268-2022 karta.png", "A 22268-2022")</f>
        <v/>
      </c>
      <c r="Y8">
        <f>HYPERLINK("https://klasma.github.io/Logging_1441/klagomål/A 22268-2022 FSC-klagomål.docx", "A 22268-2022")</f>
        <v/>
      </c>
      <c r="Z8">
        <f>HYPERLINK("https://klasma.github.io/Logging_1441/klagomålsmail/A 22268-2022 FSC-klagomål mail.docx", "A 22268-2022")</f>
        <v/>
      </c>
      <c r="AA8">
        <f>HYPERLINK("https://klasma.github.io/Logging_1441/tillsyn/A 22268-2022 tillsynsbegäran.docx", "A 22268-2022")</f>
        <v/>
      </c>
      <c r="AB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46221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Mattlummer
Revlummer</t>
        </is>
      </c>
      <c r="V9">
        <f>HYPERLINK("https://klasma.github.io/Logging_1441/artfynd/A 26345-2022 artfynd.xlsx", "A 26345-2022")</f>
        <v/>
      </c>
      <c r="W9">
        <f>HYPERLINK("https://klasma.github.io/Logging_1441/kartor/A 26345-2022 karta.png", "A 26345-2022")</f>
        <v/>
      </c>
      <c r="Y9">
        <f>HYPERLINK("https://klasma.github.io/Logging_1441/klagomål/A 26345-2022 FSC-klagomål.docx", "A 26345-2022")</f>
        <v/>
      </c>
      <c r="Z9">
        <f>HYPERLINK("https://klasma.github.io/Logging_1441/klagomålsmail/A 26345-2022 FSC-klagomål mail.docx", "A 26345-2022")</f>
        <v/>
      </c>
      <c r="AA9">
        <f>HYPERLINK("https://klasma.github.io/Logging_1441/tillsyn/A 26345-2022 tillsynsbegäran.docx", "A 26345-2022")</f>
        <v/>
      </c>
      <c r="AB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46221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Dolkstekelsglasvinge
Vanlig groda</t>
        </is>
      </c>
      <c r="V10">
        <f>HYPERLINK("https://klasma.github.io/Logging_1441/artfynd/A 2447-2023 artfynd.xlsx", "A 2447-2023")</f>
        <v/>
      </c>
      <c r="W10">
        <f>HYPERLINK("https://klasma.github.io/Logging_1441/kartor/A 2447-2023 karta.png", "A 2447-2023")</f>
        <v/>
      </c>
      <c r="Y10">
        <f>HYPERLINK("https://klasma.github.io/Logging_1441/klagomål/A 2447-2023 FSC-klagomål.docx", "A 2447-2023")</f>
        <v/>
      </c>
      <c r="Z10">
        <f>HYPERLINK("https://klasma.github.io/Logging_1441/klagomålsmail/A 2447-2023 FSC-klagomål mail.docx", "A 2447-2023")</f>
        <v/>
      </c>
      <c r="AA10">
        <f>HYPERLINK("https://klasma.github.io/Logging_1441/tillsyn/A 2447-2023 tillsynsbegäran.docx", "A 2447-2023")</f>
        <v/>
      </c>
      <c r="AB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46221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s="2" t="inlineStr">
        <is>
          <t>Igelkott
Kambräken</t>
        </is>
      </c>
      <c r="V11">
        <f>HYPERLINK("https://klasma.github.io/Logging_1441/artfynd/A 58073-2025 artfynd.xlsx", "A 58073-2025")</f>
        <v/>
      </c>
      <c r="W11">
        <f>HYPERLINK("https://klasma.github.io/Logging_1441/kartor/A 58073-2025 karta.png", "A 58073-2025")</f>
        <v/>
      </c>
      <c r="Y11">
        <f>HYPERLINK("https://klasma.github.io/Logging_1441/klagomål/A 58073-2025 FSC-klagomål.docx", "A 58073-2025")</f>
        <v/>
      </c>
      <c r="Z11">
        <f>HYPERLINK("https://klasma.github.io/Logging_1441/klagomålsmail/A 58073-2025 FSC-klagomål mail.docx", "A 58073-2025")</f>
        <v/>
      </c>
      <c r="AA11">
        <f>HYPERLINK("https://klasma.github.io/Logging_1441/tillsyn/A 58073-2025 tillsynsbegäran.docx", "A 58073-2025")</f>
        <v/>
      </c>
      <c r="AB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46221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Fällmossa
Västlig hakmossa</t>
        </is>
      </c>
      <c r="V12">
        <f>HYPERLINK("https://klasma.github.io/Logging_1441/artfynd/S 2425-2022 artfynd.xlsx", "S 2425-2022")</f>
        <v/>
      </c>
      <c r="W12">
        <f>HYPERLINK("https://klasma.github.io/Logging_1441/kartor/S 2425-2022 karta.png", "S 2425-2022")</f>
        <v/>
      </c>
      <c r="Y12">
        <f>HYPERLINK("https://klasma.github.io/Logging_1441/klagomål/S 2425-2022 FSC-klagomål.docx", "S 2425-2022")</f>
        <v/>
      </c>
      <c r="Z12">
        <f>HYPERLINK("https://klasma.github.io/Logging_1441/klagomålsmail/S 2425-2022 FSC-klagomål mail.docx", "S 2425-2022")</f>
        <v/>
      </c>
      <c r="AA12">
        <f>HYPERLINK("https://klasma.github.io/Logging_1441/tillsyn/S 2425-2022 tillsynsbegäran.docx", "S 2425-2022")</f>
        <v/>
      </c>
      <c r="AB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46221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Mindre hackspett</t>
        </is>
      </c>
      <c r="V13">
        <f>HYPERLINK("https://klasma.github.io/Logging_1441/artfynd/A 15136-2022 artfynd.xlsx", "A 15136-2022")</f>
        <v/>
      </c>
      <c r="W13">
        <f>HYPERLINK("https://klasma.github.io/Logging_1441/kartor/A 15136-2022 karta.png", "A 15136-2022")</f>
        <v/>
      </c>
      <c r="Y13">
        <f>HYPERLINK("https://klasma.github.io/Logging_1441/klagomål/A 15136-2022 FSC-klagomål.docx", "A 15136-2022")</f>
        <v/>
      </c>
      <c r="Z13">
        <f>HYPERLINK("https://klasma.github.io/Logging_1441/klagomålsmail/A 15136-2022 FSC-klagomål mail.docx", "A 15136-2022")</f>
        <v/>
      </c>
      <c r="AA13">
        <f>HYPERLINK("https://klasma.github.io/Logging_1441/tillsyn/A 15136-2022 tillsynsbegäran.docx", "A 15136-2022")</f>
        <v/>
      </c>
      <c r="AB13">
        <f>HYPERLINK("https://klasma.github.io/Logging_1441/tillsynsmail/A 15136-2022 tillsynsbegäran mail.docx", "A 15136-2022")</f>
        <v/>
      </c>
      <c r="AC13">
        <f>HYPERLINK("https://klasma.github.io/Logging_1441/fåglar/A 15136-2022 prioriterade fågelarter.docx", "A 15136-2022")</f>
        <v/>
      </c>
    </row>
    <row r="14" ht="15" customHeight="1">
      <c r="A14" t="inlineStr">
        <is>
          <t>A 64855-2023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45282</v>
      </c>
      <c r="E14" s="1" t="n">
        <v>46221</v>
      </c>
      <c r="F14" t="inlineStr">
        <is>
          <t>VÄSTRA GÖTALANDS LÄN</t>
        </is>
      </c>
      <c r="G14" t="inlineStr">
        <is>
          <t>LERUM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Havsörn</t>
        </is>
      </c>
      <c r="V14">
        <f>HYPERLINK("https://klasma.github.io/Logging_1441/artfynd/A 64855-2023 artfynd.xlsx", "A 64855-2023")</f>
        <v/>
      </c>
      <c r="W14">
        <f>HYPERLINK("https://klasma.github.io/Logging_1441/kartor/A 64855-2023 karta.png", "A 64855-2023")</f>
        <v/>
      </c>
      <c r="Y14">
        <f>HYPERLINK("https://klasma.github.io/Logging_1441/klagomål/A 64855-2023 FSC-klagomål.docx", "A 64855-2023")</f>
        <v/>
      </c>
      <c r="Z14">
        <f>HYPERLINK("https://klasma.github.io/Logging_1441/klagomålsmail/A 64855-2023 FSC-klagomål mail.docx", "A 64855-2023")</f>
        <v/>
      </c>
      <c r="AA14">
        <f>HYPERLINK("https://klasma.github.io/Logging_1441/tillsyn/A 64855-2023 tillsynsbegäran.docx", "A 64855-2023")</f>
        <v/>
      </c>
      <c r="AB14">
        <f>HYPERLINK("https://klasma.github.io/Logging_1441/tillsynsmail/A 64855-2023 tillsynsbegäran mail.docx", "A 64855-2023")</f>
        <v/>
      </c>
      <c r="AC14">
        <f>HYPERLINK("https://klasma.github.io/Logging_1441/fåglar/A 64855-2023 prioriterade fågelarter.docx", "A 64855-2023")</f>
        <v/>
      </c>
    </row>
    <row r="15" ht="15" customHeight="1">
      <c r="A15" t="inlineStr">
        <is>
          <t>A 26568-2023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45092</v>
      </c>
      <c r="E15" s="1" t="n">
        <v>46221</v>
      </c>
      <c r="F15" t="inlineStr">
        <is>
          <t>VÄSTRA GÖTALANDS LÄN</t>
        </is>
      </c>
      <c r="G15" t="inlineStr">
        <is>
          <t>LERUM</t>
        </is>
      </c>
      <c r="I15" t="n">
        <v>2.7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Svart jordtunga</t>
        </is>
      </c>
      <c r="V15">
        <f>HYPERLINK("https://klasma.github.io/Logging_1441/artfynd/A 26568-2023 artfynd.xlsx", "A 26568-2023")</f>
        <v/>
      </c>
      <c r="W15">
        <f>HYPERLINK("https://klasma.github.io/Logging_1441/kartor/A 26568-2023 karta.png", "A 26568-2023")</f>
        <v/>
      </c>
      <c r="Y15">
        <f>HYPERLINK("https://klasma.github.io/Logging_1441/klagomål/A 26568-2023 FSC-klagomål.docx", "A 26568-2023")</f>
        <v/>
      </c>
      <c r="Z15">
        <f>HYPERLINK("https://klasma.github.io/Logging_1441/klagomålsmail/A 26568-2023 FSC-klagomål mail.docx", "A 26568-2023")</f>
        <v/>
      </c>
      <c r="AA15">
        <f>HYPERLINK("https://klasma.github.io/Logging_1441/tillsyn/A 26568-2023 tillsynsbegäran.docx", "A 26568-2023")</f>
        <v/>
      </c>
      <c r="AB15">
        <f>HYPERLINK("https://klasma.github.io/Logging_1441/tillsynsmail/A 26568-2023 tillsynsbegäran mail.docx", "A 26568-2023")</f>
        <v/>
      </c>
    </row>
    <row r="16" ht="15" customHeight="1">
      <c r="A16" t="inlineStr">
        <is>
          <t>A 57154-2022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46221</v>
      </c>
      <c r="F16" t="inlineStr">
        <is>
          <t>VÄSTRA GÖTALANDS LÄN</t>
        </is>
      </c>
      <c r="G16" t="inlineStr">
        <is>
          <t>LERUM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Grönvit nattviol</t>
        </is>
      </c>
      <c r="V16">
        <f>HYPERLINK("https://klasma.github.io/Logging_1441/artfynd/A 57154-2022 artfynd.xlsx", "A 57154-2022")</f>
        <v/>
      </c>
      <c r="W16">
        <f>HYPERLINK("https://klasma.github.io/Logging_1441/kartor/A 57154-2022 karta.png", "A 57154-2022")</f>
        <v/>
      </c>
      <c r="Y16">
        <f>HYPERLINK("https://klasma.github.io/Logging_1441/klagomål/A 57154-2022 FSC-klagomål.docx", "A 57154-2022")</f>
        <v/>
      </c>
      <c r="Z16">
        <f>HYPERLINK("https://klasma.github.io/Logging_1441/klagomålsmail/A 57154-2022 FSC-klagomål mail.docx", "A 57154-2022")</f>
        <v/>
      </c>
      <c r="AA16">
        <f>HYPERLINK("https://klasma.github.io/Logging_1441/tillsyn/A 57154-2022 tillsynsbegäran.docx", "A 57154-2022")</f>
        <v/>
      </c>
      <c r="AB16">
        <f>HYPERLINK("https://klasma.github.io/Logging_1441/tillsynsmail/A 57154-2022 tillsynsbegäran mail.docx", "A 57154-2022")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46221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Revlummer</t>
        </is>
      </c>
      <c r="V17">
        <f>HYPERLINK("https://klasma.github.io/Logging_1441/artfynd/A 51900-2021 artfynd.xlsx", "A 51900-2021")</f>
        <v/>
      </c>
      <c r="W17">
        <f>HYPERLINK("https://klasma.github.io/Logging_1441/kartor/A 51900-2021 karta.png", "A 51900-2021")</f>
        <v/>
      </c>
      <c r="Y17">
        <f>HYPERLINK("https://klasma.github.io/Logging_1441/klagomål/A 51900-2021 FSC-klagomål.docx", "A 51900-2021")</f>
        <v/>
      </c>
      <c r="Z17">
        <f>HYPERLINK("https://klasma.github.io/Logging_1441/klagomålsmail/A 51900-2021 FSC-klagomål mail.docx", "A 51900-2021")</f>
        <v/>
      </c>
      <c r="AA17">
        <f>HYPERLINK("https://klasma.github.io/Logging_1441/tillsyn/A 51900-2021 tillsynsbegäran.docx", "A 51900-2021")</f>
        <v/>
      </c>
      <c r="AB17">
        <f>HYPERLINK("https://klasma.github.io/Logging_1441/tillsynsmail/A 51900-2021 tillsynsbegäran mail.docx", "A 51900-2021")</f>
        <v/>
      </c>
    </row>
    <row r="18" ht="15" customHeight="1">
      <c r="A18" t="inlineStr">
        <is>
          <t>A 2438-2023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46221</v>
      </c>
      <c r="F18" t="inlineStr">
        <is>
          <t>VÄSTRA GÖTALANDS LÄN</t>
        </is>
      </c>
      <c r="G18" t="inlineStr">
        <is>
          <t>LERUM</t>
        </is>
      </c>
      <c r="I18" t="n">
        <v>2.6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s="2" t="inlineStr">
        <is>
          <t>Björksplintborre</t>
        </is>
      </c>
      <c r="V18">
        <f>HYPERLINK("https://klasma.github.io/Logging_1441/artfynd/A 2438-2023 artfynd.xlsx", "A 2438-2023")</f>
        <v/>
      </c>
      <c r="W18">
        <f>HYPERLINK("https://klasma.github.io/Logging_1441/kartor/A 2438-2023 karta.png", "A 2438-2023")</f>
        <v/>
      </c>
      <c r="Y18">
        <f>HYPERLINK("https://klasma.github.io/Logging_1441/klagomål/A 2438-2023 FSC-klagomål.docx", "A 2438-2023")</f>
        <v/>
      </c>
      <c r="Z18">
        <f>HYPERLINK("https://klasma.github.io/Logging_1441/klagomålsmail/A 2438-2023 FSC-klagomål mail.docx", "A 2438-2023")</f>
        <v/>
      </c>
      <c r="AA18">
        <f>HYPERLINK("https://klasma.github.io/Logging_1441/tillsyn/A 2438-2023 tillsynsbegäran.docx", "A 2438-2023")</f>
        <v/>
      </c>
      <c r="AB18">
        <f>HYPERLINK("https://klasma.github.io/Logging_1441/tillsynsmail/A 2438-2023 tillsynsbegäran mail.docx", "A 2438-2023")</f>
        <v/>
      </c>
    </row>
    <row r="19" ht="15" customHeight="1">
      <c r="A19" t="inlineStr">
        <is>
          <t>A 20570-2023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45057</v>
      </c>
      <c r="E19" s="1" t="n">
        <v>46221</v>
      </c>
      <c r="F19" t="inlineStr">
        <is>
          <t>VÄSTRA GÖTALANDS LÄN</t>
        </is>
      </c>
      <c r="G19" t="inlineStr">
        <is>
          <t>LERUM</t>
        </is>
      </c>
      <c r="I19" t="n">
        <v>5.6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Vedticka</t>
        </is>
      </c>
      <c r="V19">
        <f>HYPERLINK("https://klasma.github.io/Logging_1441/artfynd/A 20570-2023 artfynd.xlsx", "A 20570-2023")</f>
        <v/>
      </c>
      <c r="W19">
        <f>HYPERLINK("https://klasma.github.io/Logging_1441/kartor/A 20570-2023 karta.png", "A 20570-2023")</f>
        <v/>
      </c>
      <c r="Y19">
        <f>HYPERLINK("https://klasma.github.io/Logging_1441/klagomål/A 20570-2023 FSC-klagomål.docx", "A 20570-2023")</f>
        <v/>
      </c>
      <c r="Z19">
        <f>HYPERLINK("https://klasma.github.io/Logging_1441/klagomålsmail/A 20570-2023 FSC-klagomål mail.docx", "A 20570-2023")</f>
        <v/>
      </c>
      <c r="AA19">
        <f>HYPERLINK("https://klasma.github.io/Logging_1441/tillsyn/A 20570-2023 tillsynsbegäran.docx", "A 20570-2023")</f>
        <v/>
      </c>
      <c r="AB19">
        <f>HYPERLINK("https://klasma.github.io/Logging_1441/tillsynsmail/A 20570-2023 tillsynsbegäran mail.docx", "A 20570-2023")</f>
        <v/>
      </c>
    </row>
    <row r="20" ht="15" customHeight="1">
      <c r="A20" t="inlineStr">
        <is>
          <t>A 62755-2025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46221</v>
      </c>
      <c r="F20" t="inlineStr">
        <is>
          <t>VÄSTRA GÖTALANDS LÄN</t>
        </is>
      </c>
      <c r="G20" t="inlineStr">
        <is>
          <t>LERUM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Grönvit nattviol</t>
        </is>
      </c>
      <c r="V20">
        <f>HYPERLINK("https://klasma.github.io/Logging_1441/artfynd/A 62755-2025 artfynd.xlsx", "A 62755-2025")</f>
        <v/>
      </c>
      <c r="W20">
        <f>HYPERLINK("https://klasma.github.io/Logging_1441/kartor/A 62755-2025 karta.png", "A 62755-2025")</f>
        <v/>
      </c>
      <c r="Y20">
        <f>HYPERLINK("https://klasma.github.io/Logging_1441/klagomål/A 62755-2025 FSC-klagomål.docx", "A 62755-2025")</f>
        <v/>
      </c>
      <c r="Z20">
        <f>HYPERLINK("https://klasma.github.io/Logging_1441/klagomålsmail/A 62755-2025 FSC-klagomål mail.docx", "A 62755-2025")</f>
        <v/>
      </c>
      <c r="AA20">
        <f>HYPERLINK("https://klasma.github.io/Logging_1441/tillsyn/A 62755-2025 tillsynsbegäran.docx", "A 62755-2025")</f>
        <v/>
      </c>
      <c r="AB20">
        <f>HYPERLINK("https://klasma.github.io/Logging_1441/tillsynsmail/A 62755-2025 tillsynsbegäran mail.docx", "A 62755-2025")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46221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Revlummer</t>
        </is>
      </c>
      <c r="V21">
        <f>HYPERLINK("https://klasma.github.io/Logging_1441/artfynd/A 10410-2022 artfynd.xlsx", "A 10410-2022")</f>
        <v/>
      </c>
      <c r="W21">
        <f>HYPERLINK("https://klasma.github.io/Logging_1441/kartor/A 10410-2022 karta.png", "A 10410-2022")</f>
        <v/>
      </c>
      <c r="Y21">
        <f>HYPERLINK("https://klasma.github.io/Logging_1441/klagomål/A 10410-2022 FSC-klagomål.docx", "A 10410-2022")</f>
        <v/>
      </c>
      <c r="Z21">
        <f>HYPERLINK("https://klasma.github.io/Logging_1441/klagomålsmail/A 10410-2022 FSC-klagomål mail.docx", "A 10410-2022")</f>
        <v/>
      </c>
      <c r="AA21">
        <f>HYPERLINK("https://klasma.github.io/Logging_1441/tillsyn/A 10410-2022 tillsynsbegäran.docx", "A 10410-2022")</f>
        <v/>
      </c>
      <c r="AB21">
        <f>HYPERLINK("https://klasma.github.io/Logging_1441/tillsynsmail/A 10410-2022 tillsynsbegäran mail.docx", "A 10410-2022")</f>
        <v/>
      </c>
    </row>
    <row r="22" ht="15" customHeight="1">
      <c r="A22" t="inlineStr">
        <is>
          <t>A 72415-2021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44545</v>
      </c>
      <c r="E22" s="1" t="n">
        <v>46221</v>
      </c>
      <c r="F22" t="inlineStr">
        <is>
          <t>VÄSTRA GÖTALANDS LÄN</t>
        </is>
      </c>
      <c r="G22" t="inlineStr">
        <is>
          <t>LERUM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33922-2022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46221</v>
      </c>
      <c r="F23" t="inlineStr">
        <is>
          <t>VÄSTRA GÖTALANDS LÄN</t>
        </is>
      </c>
      <c r="G23" t="inlineStr">
        <is>
          <t>LERUM</t>
        </is>
      </c>
      <c r="I23" t="n">
        <v>6.1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46221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46221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46221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46221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46221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46221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46221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46221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46221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46221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46221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46221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46221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46221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46221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50622-2023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45217</v>
      </c>
      <c r="E39" s="1" t="n">
        <v>46221</v>
      </c>
      <c r="F39" t="inlineStr">
        <is>
          <t>VÄSTRA GÖTALANDS LÄN</t>
        </is>
      </c>
      <c r="G39" t="inlineStr">
        <is>
          <t>LERUM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7429-2024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45345</v>
      </c>
      <c r="E40" s="1" t="n">
        <v>46221</v>
      </c>
      <c r="F40" t="inlineStr">
        <is>
          <t>VÄSTRA GÖTALANDS LÄN</t>
        </is>
      </c>
      <c r="G40" t="inlineStr">
        <is>
          <t>LERUM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50405-2023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46221</v>
      </c>
      <c r="F41" t="inlineStr">
        <is>
          <t>VÄSTRA GÖTALANDS LÄN</t>
        </is>
      </c>
      <c r="G41" t="inlineStr">
        <is>
          <t>LERUM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50410-2023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45216</v>
      </c>
      <c r="E42" s="1" t="n">
        <v>46221</v>
      </c>
      <c r="F42" t="inlineStr">
        <is>
          <t>VÄSTRA GÖTALANDS LÄN</t>
        </is>
      </c>
      <c r="G42" t="inlineStr">
        <is>
          <t>LERUM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41836-2022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44828</v>
      </c>
      <c r="E43" s="1" t="n">
        <v>46221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26073-2025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45805</v>
      </c>
      <c r="E44" s="1" t="n">
        <v>46221</v>
      </c>
      <c r="F44" t="inlineStr">
        <is>
          <t>VÄSTRA GÖTALANDS LÄN</t>
        </is>
      </c>
      <c r="G44" t="inlineStr">
        <is>
          <t>LERUM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28118-2024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45476</v>
      </c>
      <c r="E45" s="1" t="n">
        <v>46221</v>
      </c>
      <c r="F45" t="inlineStr">
        <is>
          <t>VÄSTRA GÖTALANDS LÄN</t>
        </is>
      </c>
      <c r="G45" t="inlineStr">
        <is>
          <t>LERUM</t>
        </is>
      </c>
      <c r="I45" t="n">
        <v>7.2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28139-2024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45476</v>
      </c>
      <c r="E46" s="1" t="n">
        <v>46221</v>
      </c>
      <c r="F46" t="inlineStr">
        <is>
          <t>VÄSTRA GÖTALANDS LÄN</t>
        </is>
      </c>
      <c r="G46" t="inlineStr">
        <is>
          <t>LERUM</t>
        </is>
      </c>
      <c r="I46" t="n">
        <v>5.2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27367-2025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45812</v>
      </c>
      <c r="E47" s="1" t="n">
        <v>46221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39113-2024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45548</v>
      </c>
      <c r="E48" s="1" t="n">
        <v>46221</v>
      </c>
      <c r="F48" t="inlineStr">
        <is>
          <t>VÄSTRA GÖTALANDS LÄN</t>
        </is>
      </c>
      <c r="G48" t="inlineStr">
        <is>
          <t>LERUM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45887</v>
      </c>
      <c r="E49" s="1" t="n">
        <v>46221</v>
      </c>
      <c r="F49" t="inlineStr">
        <is>
          <t>VÄSTRA GÖTALANDS LÄN</t>
        </is>
      </c>
      <c r="G49" t="inlineStr">
        <is>
          <t>LERUM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38743-2025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46221</v>
      </c>
      <c r="F50" t="inlineStr">
        <is>
          <t>VÄSTRA GÖTALANDS LÄN</t>
        </is>
      </c>
      <c r="G50" t="inlineStr">
        <is>
          <t>LERUM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35199-2023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45145</v>
      </c>
      <c r="E51" s="1" t="n">
        <v>46221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40848-2025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45897</v>
      </c>
      <c r="E52" s="1" t="n">
        <v>46221</v>
      </c>
      <c r="F52" t="inlineStr">
        <is>
          <t>VÄSTRA GÖTALANDS LÄN</t>
        </is>
      </c>
      <c r="G52" t="inlineStr">
        <is>
          <t>LERUM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32095-2025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46221</v>
      </c>
      <c r="F53" t="inlineStr">
        <is>
          <t>VÄSTRA GÖTALANDS LÄN</t>
        </is>
      </c>
      <c r="G53" t="inlineStr">
        <is>
          <t>LERUM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32093-2025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45835</v>
      </c>
      <c r="E54" s="1" t="n">
        <v>46221</v>
      </c>
      <c r="F54" t="inlineStr">
        <is>
          <t>VÄSTRA GÖTALANDS LÄN</t>
        </is>
      </c>
      <c r="G54" t="inlineStr">
        <is>
          <t>LERUM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45396-2025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46221</v>
      </c>
      <c r="F55" t="inlineStr">
        <is>
          <t>VÄSTRA GÖTALANDS LÄN</t>
        </is>
      </c>
      <c r="G55" t="inlineStr">
        <is>
          <t>LERUM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45483-2025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46221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45132-2025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45919</v>
      </c>
      <c r="E57" s="1" t="n">
        <v>46221</v>
      </c>
      <c r="F57" t="inlineStr">
        <is>
          <t>VÄSTRA GÖTALANDS LÄN</t>
        </is>
      </c>
      <c r="G57" t="inlineStr">
        <is>
          <t>LERUM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45363-2025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46221</v>
      </c>
      <c r="F58" t="inlineStr">
        <is>
          <t>VÄSTRA GÖTALANDS LÄN</t>
        </is>
      </c>
      <c r="G58" t="inlineStr">
        <is>
          <t>LERUM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42526-2024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45565</v>
      </c>
      <c r="E59" s="1" t="n">
        <v>46221</v>
      </c>
      <c r="F59" t="inlineStr">
        <is>
          <t>VÄSTRA GÖTALANDS LÄN</t>
        </is>
      </c>
      <c r="G59" t="inlineStr">
        <is>
          <t>LERUM</t>
        </is>
      </c>
      <c r="H59" t="inlineStr">
        <is>
          <t>Kyrkan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46957-2025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45929</v>
      </c>
      <c r="E60" s="1" t="n">
        <v>46221</v>
      </c>
      <c r="F60" t="inlineStr">
        <is>
          <t>VÄSTRA GÖTALANDS LÄN</t>
        </is>
      </c>
      <c r="G60" t="inlineStr">
        <is>
          <t>LERUM</t>
        </is>
      </c>
      <c r="I60" t="n">
        <v>8.699999999999999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47599-2025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46221</v>
      </c>
      <c r="F61" t="inlineStr">
        <is>
          <t>VÄSTRA GÖTALANDS LÄN</t>
        </is>
      </c>
      <c r="G61" t="inlineStr">
        <is>
          <t>LERUM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57178-2022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46221</v>
      </c>
      <c r="F62" t="inlineStr">
        <is>
          <t>VÄSTRA GÖTALANDS LÄN</t>
        </is>
      </c>
      <c r="G62" t="inlineStr">
        <is>
          <t>LERUM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66008-2021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46221</v>
      </c>
      <c r="F63" t="inlineStr">
        <is>
          <t>VÄSTRA GÖTALANDS LÄN</t>
        </is>
      </c>
      <c r="G63" t="inlineStr">
        <is>
          <t>LERUM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66104-2021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46221</v>
      </c>
      <c r="F64" t="inlineStr">
        <is>
          <t>VÄSTRA GÖTALANDS LÄN</t>
        </is>
      </c>
      <c r="G64" t="inlineStr">
        <is>
          <t>LERUM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66107-2021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46221</v>
      </c>
      <c r="F65" t="inlineStr">
        <is>
          <t>VÄSTRA GÖTALANDS LÄN</t>
        </is>
      </c>
      <c r="G65" t="inlineStr">
        <is>
          <t>LERUM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36756-2022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44805</v>
      </c>
      <c r="E66" s="1" t="n">
        <v>46221</v>
      </c>
      <c r="F66" t="inlineStr">
        <is>
          <t>VÄSTRA GÖTALANDS LÄN</t>
        </is>
      </c>
      <c r="G66" t="inlineStr">
        <is>
          <t>LERUM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57186-2022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46221</v>
      </c>
      <c r="F67" t="inlineStr">
        <is>
          <t>VÄSTRA GÖTALANDS LÄN</t>
        </is>
      </c>
      <c r="G67" t="inlineStr">
        <is>
          <t>LERUM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7272-2023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46221</v>
      </c>
      <c r="F68" t="inlineStr">
        <is>
          <t>VÄSTRA GÖTALANDS LÄN</t>
        </is>
      </c>
      <c r="G68" t="inlineStr">
        <is>
          <t>LERUM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2450-2023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44943</v>
      </c>
      <c r="E69" s="1" t="n">
        <v>46221</v>
      </c>
      <c r="F69" t="inlineStr">
        <is>
          <t>VÄSTRA GÖTALANDS LÄN</t>
        </is>
      </c>
      <c r="G69" t="inlineStr">
        <is>
          <t>LERUM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57083-2022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46221</v>
      </c>
      <c r="F70" t="inlineStr">
        <is>
          <t>VÄSTRA GÖTALANDS LÄN</t>
        </is>
      </c>
      <c r="G70" t="inlineStr">
        <is>
          <t>LERUM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57120-2022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46221</v>
      </c>
      <c r="F71" t="inlineStr">
        <is>
          <t>VÄSTRA GÖTALANDS LÄN</t>
        </is>
      </c>
      <c r="G71" t="inlineStr">
        <is>
          <t>LERUM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57195-2022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46221</v>
      </c>
      <c r="F72" t="inlineStr">
        <is>
          <t>VÄSTRA GÖTALANDS LÄN</t>
        </is>
      </c>
      <c r="G72" t="inlineStr">
        <is>
          <t>LERUM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16648-2023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45028</v>
      </c>
      <c r="E73" s="1" t="n">
        <v>46221</v>
      </c>
      <c r="F73" t="inlineStr">
        <is>
          <t>VÄSTRA GÖTALANDS LÄN</t>
        </is>
      </c>
      <c r="G73" t="inlineStr">
        <is>
          <t>LERUM</t>
        </is>
      </c>
      <c r="H73" t="inlineStr">
        <is>
          <t>Kyrkan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13156-2024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45386</v>
      </c>
      <c r="E74" s="1" t="n">
        <v>46221</v>
      </c>
      <c r="F74" t="inlineStr">
        <is>
          <t>VÄSTRA GÖTALANDS LÄN</t>
        </is>
      </c>
      <c r="G74" t="inlineStr">
        <is>
          <t>LERUM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23592-2022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44721</v>
      </c>
      <c r="E75" s="1" t="n">
        <v>46221</v>
      </c>
      <c r="F75" t="inlineStr">
        <is>
          <t>VÄSTRA GÖTALANDS LÄN</t>
        </is>
      </c>
      <c r="G75" t="inlineStr">
        <is>
          <t>LERUM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11232-2025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45726</v>
      </c>
      <c r="E76" s="1" t="n">
        <v>46221</v>
      </c>
      <c r="F76" t="inlineStr">
        <is>
          <t>VÄSTRA GÖTALANDS LÄN</t>
        </is>
      </c>
      <c r="G76" t="inlineStr">
        <is>
          <t>LERUM</t>
        </is>
      </c>
      <c r="I76" t="n">
        <v>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47866-2024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45588</v>
      </c>
      <c r="E77" s="1" t="n">
        <v>46221</v>
      </c>
      <c r="F77" t="inlineStr">
        <is>
          <t>VÄSTRA GÖTALANDS LÄN</t>
        </is>
      </c>
      <c r="G77" t="inlineStr">
        <is>
          <t>LERUM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46221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46221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58042-2025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46221</v>
      </c>
      <c r="F80" t="inlineStr">
        <is>
          <t>VÄSTRA GÖTALANDS LÄN</t>
        </is>
      </c>
      <c r="G80" t="inlineStr">
        <is>
          <t>LERUM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37441-2022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44809</v>
      </c>
      <c r="E81" s="1" t="n">
        <v>46221</v>
      </c>
      <c r="F81" t="inlineStr">
        <is>
          <t>VÄSTRA GÖTALANDS LÄN</t>
        </is>
      </c>
      <c r="G81" t="inlineStr">
        <is>
          <t>LERUM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61766-2025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46221</v>
      </c>
      <c r="F82" t="inlineStr">
        <is>
          <t>VÄSTRA GÖTALANDS LÄN</t>
        </is>
      </c>
      <c r="G82" t="inlineStr">
        <is>
          <t>LERUM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61762-2025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46221</v>
      </c>
      <c r="F83" t="inlineStr">
        <is>
          <t>VÄSTRA GÖTALANDS LÄN</t>
        </is>
      </c>
      <c r="G83" t="inlineStr">
        <is>
          <t>LERUM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62769-2025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46221</v>
      </c>
      <c r="F84" t="inlineStr">
        <is>
          <t>VÄSTRA GÖTALANDS LÄN</t>
        </is>
      </c>
      <c r="G84" t="inlineStr">
        <is>
          <t>LERUM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62774-2025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46221</v>
      </c>
      <c r="F85" t="inlineStr">
        <is>
          <t>VÄSTRA GÖTALANDS LÄN</t>
        </is>
      </c>
      <c r="G85" t="inlineStr">
        <is>
          <t>LERUM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62757-2025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46221</v>
      </c>
      <c r="F86" t="inlineStr">
        <is>
          <t>VÄSTRA GÖTALANDS LÄN</t>
        </is>
      </c>
      <c r="G86" t="inlineStr">
        <is>
          <t>LERUM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4883-2024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46221</v>
      </c>
      <c r="F87" t="inlineStr">
        <is>
          <t>VÄSTRA GÖTALANDS LÄN</t>
        </is>
      </c>
      <c r="G87" t="inlineStr">
        <is>
          <t>LERUM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14067-2024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45392</v>
      </c>
      <c r="E88" s="1" t="n">
        <v>46221</v>
      </c>
      <c r="F88" t="inlineStr">
        <is>
          <t>VÄSTRA GÖTALANDS LÄN</t>
        </is>
      </c>
      <c r="G88" t="inlineStr">
        <is>
          <t>LERUM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47398-2024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45587</v>
      </c>
      <c r="E89" s="1" t="n">
        <v>46221</v>
      </c>
      <c r="F89" t="inlineStr">
        <is>
          <t>VÄSTRA GÖTALANDS LÄN</t>
        </is>
      </c>
      <c r="G89" t="inlineStr">
        <is>
          <t>LERUM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2420-2026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46034</v>
      </c>
      <c r="E90" s="1" t="n">
        <v>46221</v>
      </c>
      <c r="F90" t="inlineStr">
        <is>
          <t>VÄSTRA GÖTALANDS LÄN</t>
        </is>
      </c>
      <c r="G90" t="inlineStr">
        <is>
          <t>LERUM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2335-2026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46221</v>
      </c>
      <c r="F91" t="inlineStr">
        <is>
          <t>VÄSTRA GÖTALANDS LÄN</t>
        </is>
      </c>
      <c r="G91" t="inlineStr">
        <is>
          <t>LERUM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7990-2024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45350</v>
      </c>
      <c r="E92" s="1" t="n">
        <v>46221</v>
      </c>
      <c r="F92" t="inlineStr">
        <is>
          <t>VÄSTRA GÖTALANDS LÄN</t>
        </is>
      </c>
      <c r="G92" t="inlineStr">
        <is>
          <t>LERUM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21133-2022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44704</v>
      </c>
      <c r="E93" s="1" t="n">
        <v>46221</v>
      </c>
      <c r="F93" t="inlineStr">
        <is>
          <t>VÄSTRA GÖTALANDS LÄN</t>
        </is>
      </c>
      <c r="G93" t="inlineStr">
        <is>
          <t>LERUM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19238-2026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46132</v>
      </c>
      <c r="E94" s="1" t="n">
        <v>46221</v>
      </c>
      <c r="F94" t="inlineStr">
        <is>
          <t>VÄSTRA GÖTALANDS LÄN</t>
        </is>
      </c>
      <c r="G94" t="inlineStr">
        <is>
          <t>LERUM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11124-2025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45723</v>
      </c>
      <c r="E95" s="1" t="n">
        <v>46221</v>
      </c>
      <c r="F95" t="inlineStr">
        <is>
          <t>VÄSTRA GÖTALANDS LÄN</t>
        </is>
      </c>
      <c r="G95" t="inlineStr">
        <is>
          <t>LERUM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22300-2022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46221</v>
      </c>
      <c r="F96" t="inlineStr">
        <is>
          <t>VÄSTRA GÖTALANDS LÄN</t>
        </is>
      </c>
      <c r="G96" t="inlineStr">
        <is>
          <t>LERUM</t>
        </is>
      </c>
      <c r="I96" t="n">
        <v>23.3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44780-2025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46221</v>
      </c>
      <c r="F97" t="inlineStr">
        <is>
          <t>VÄSTRA GÖTALANDS LÄN</t>
        </is>
      </c>
      <c r="G97" t="inlineStr">
        <is>
          <t>LERUM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20210-2023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45055</v>
      </c>
      <c r="E98" s="1" t="n">
        <v>46221</v>
      </c>
      <c r="F98" t="inlineStr">
        <is>
          <t>VÄSTRA GÖTALANDS LÄN</t>
        </is>
      </c>
      <c r="G98" t="inlineStr">
        <is>
          <t>LERUM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31687-2025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45834</v>
      </c>
      <c r="E99" s="1" t="n">
        <v>46221</v>
      </c>
      <c r="F99" t="inlineStr">
        <is>
          <t>VÄSTRA GÖTALANDS LÄN</t>
        </is>
      </c>
      <c r="G99" t="inlineStr">
        <is>
          <t>LERUM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50397-2023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45216</v>
      </c>
      <c r="E100" s="1" t="n">
        <v>46221</v>
      </c>
      <c r="F100" t="inlineStr">
        <is>
          <t>VÄSTRA GÖTALANDS LÄN</t>
        </is>
      </c>
      <c r="G100" t="inlineStr">
        <is>
          <t>LERUM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28029-2025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45817</v>
      </c>
      <c r="E101" s="1" t="n">
        <v>46221</v>
      </c>
      <c r="F101" t="inlineStr">
        <is>
          <t>VÄSTRA GÖTALANDS LÄN</t>
        </is>
      </c>
      <c r="G101" t="inlineStr">
        <is>
          <t>LERUM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47944-2024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45589</v>
      </c>
      <c r="E102" s="1" t="n">
        <v>46221</v>
      </c>
      <c r="F102" t="inlineStr">
        <is>
          <t>VÄSTRA GÖTALANDS LÄN</t>
        </is>
      </c>
      <c r="G102" t="inlineStr">
        <is>
          <t>LERUM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44710</v>
      </c>
      <c r="E103" s="1" t="n">
        <v>46221</v>
      </c>
      <c r="F103" t="inlineStr">
        <is>
          <t>VÄSTRA GÖTALANDS LÄN</t>
        </is>
      </c>
      <c r="G103" t="inlineStr">
        <is>
          <t>LERUM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28089-2022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46221</v>
      </c>
      <c r="F104" t="inlineStr">
        <is>
          <t>VÄSTRA GÖTALANDS LÄN</t>
        </is>
      </c>
      <c r="G104" t="inlineStr">
        <is>
          <t>LERUM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50420-2023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46221</v>
      </c>
      <c r="F105" t="inlineStr">
        <is>
          <t>VÄSTRA GÖTALANDS LÄN</t>
        </is>
      </c>
      <c r="G105" t="inlineStr">
        <is>
          <t>LERUM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24163-2024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45441</v>
      </c>
      <c r="E106" s="1" t="n">
        <v>46221</v>
      </c>
      <c r="F106" t="inlineStr">
        <is>
          <t>VÄSTRA GÖTALANDS LÄN</t>
        </is>
      </c>
      <c r="G106" t="inlineStr">
        <is>
          <t>LERUM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20680-2022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44700</v>
      </c>
      <c r="E107" s="1" t="n">
        <v>46221</v>
      </c>
      <c r="F107" t="inlineStr">
        <is>
          <t>VÄSTRA GÖTALANDS LÄN</t>
        </is>
      </c>
      <c r="G107" t="inlineStr">
        <is>
          <t>LERUM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28053-2025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45817</v>
      </c>
      <c r="E108" s="1" t="n">
        <v>46221</v>
      </c>
      <c r="F108" t="inlineStr">
        <is>
          <t>VÄSTRA GÖTALANDS LÄN</t>
        </is>
      </c>
      <c r="G108" t="inlineStr">
        <is>
          <t>LERUM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28157-2022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46221</v>
      </c>
      <c r="F109" t="inlineStr">
        <is>
          <t>VÄSTRA GÖTALANDS LÄN</t>
        </is>
      </c>
      <c r="G109" t="inlineStr">
        <is>
          <t>LERUM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30034-2026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46206</v>
      </c>
      <c r="E110" s="1" t="n">
        <v>46221</v>
      </c>
      <c r="F110" t="inlineStr">
        <is>
          <t>VÄSTRA GÖTALANDS LÄN</t>
        </is>
      </c>
      <c r="G110" t="inlineStr">
        <is>
          <t>LERUM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5359-2023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44959</v>
      </c>
      <c r="E111" s="1" t="n">
        <v>46221</v>
      </c>
      <c r="F111" t="inlineStr">
        <is>
          <t>VÄSTRA GÖTALANDS LÄN</t>
        </is>
      </c>
      <c r="G111" t="inlineStr">
        <is>
          <t>LERUM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40709-2023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46221</v>
      </c>
      <c r="F112" t="inlineStr">
        <is>
          <t>VÄSTRA GÖTALANDS LÄN</t>
        </is>
      </c>
      <c r="G112" t="inlineStr">
        <is>
          <t>LERUM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790-2024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45300</v>
      </c>
      <c r="E113" s="1" t="n">
        <v>46221</v>
      </c>
      <c r="F113" t="inlineStr">
        <is>
          <t>VÄSTRA GÖTALANDS LÄN</t>
        </is>
      </c>
      <c r="G113" t="inlineStr">
        <is>
          <t>LERUM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46221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46221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2026-07-18T01:20:54Z</dcterms:created>
  <dcterms:modified xmlns:dcterms="http://purl.org/dc/terms/" xmlns:xsi="http://www.w3.org/2001/XMLSchema-instance" xsi:type="dcterms:W3CDTF">2026-07-18T01:20:54Z</dcterms:modified>
</cp:coreProperties>
</file>