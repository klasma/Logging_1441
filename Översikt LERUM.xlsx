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45763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45763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45763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45763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45763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12259-2025</t>
        </is>
      </c>
      <c r="B7" s="1" t="n">
        <v>45729</v>
      </c>
      <c r="C7" s="1" t="n">
        <v>45763</v>
      </c>
      <c r="D7" t="inlineStr">
        <is>
          <t>VÄSTRA GÖTALANDS LÄN</t>
        </is>
      </c>
      <c r="E7" t="inlineStr">
        <is>
          <t>LERUM</t>
        </is>
      </c>
      <c r="G7" t="n">
        <v>5.2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Vanlig groda
Vanlig padda</t>
        </is>
      </c>
      <c r="S7">
        <f>HYPERLINK("https://klasma.github.io/Logging_141441/artfynd/A 12259-2025 artfynd.xlsx", "A 12259-2025")</f>
        <v/>
      </c>
      <c r="T7">
        <f>HYPERLINK("https://klasma.github.io/Logging_141441/kartor/A 12259-2025 karta.png", "A 12259-2025")</f>
        <v/>
      </c>
      <c r="V7">
        <f>HYPERLINK("https://klasma.github.io/Logging_141441/klagomål/A 12259-2025 FSC-klagomål.docx", "A 12259-2025")</f>
        <v/>
      </c>
      <c r="W7">
        <f>HYPERLINK("https://klasma.github.io/Logging_141441/klagomålsmail/A 12259-2025 FSC-klagomål mail.docx", "A 12259-2025")</f>
        <v/>
      </c>
      <c r="X7">
        <f>HYPERLINK("https://klasma.github.io/Logging_141441/tillsyn/A 12259-2025 tillsynsbegäran.docx", "A 12259-2025")</f>
        <v/>
      </c>
      <c r="Y7">
        <f>HYPERLINK("https://klasma.github.io/Logging_141441/tillsynsmail/A 12259-2025 tillsynsbegäran mail.docx", "A 12259-2025")</f>
        <v/>
      </c>
    </row>
    <row r="8" ht="15" customHeight="1">
      <c r="A8" t="inlineStr">
        <is>
          <t>A 14442-2025</t>
        </is>
      </c>
      <c r="B8" s="1" t="n">
        <v>45741</v>
      </c>
      <c r="C8" s="1" t="n">
        <v>45763</v>
      </c>
      <c r="D8" t="inlineStr">
        <is>
          <t>VÄSTRA GÖTALANDS LÄN</t>
        </is>
      </c>
      <c r="E8" t="inlineStr">
        <is>
          <t>LERUM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Mindre hackspett
Huggorm</t>
        </is>
      </c>
      <c r="S8">
        <f>HYPERLINK("https://klasma.github.io/Logging_141441/artfynd/A 14442-2025 artfynd.xlsx", "A 14442-2025")</f>
        <v/>
      </c>
      <c r="T8">
        <f>HYPERLINK("https://klasma.github.io/Logging_141441/kartor/A 14442-2025 karta.png", "A 14442-2025")</f>
        <v/>
      </c>
      <c r="V8">
        <f>HYPERLINK("https://klasma.github.io/Logging_141441/klagomål/A 14442-2025 FSC-klagomål.docx", "A 14442-2025")</f>
        <v/>
      </c>
      <c r="W8">
        <f>HYPERLINK("https://klasma.github.io/Logging_141441/klagomålsmail/A 14442-2025 FSC-klagomål mail.docx", "A 14442-2025")</f>
        <v/>
      </c>
      <c r="X8">
        <f>HYPERLINK("https://klasma.github.io/Logging_141441/tillsyn/A 14442-2025 tillsynsbegäran.docx", "A 14442-2025")</f>
        <v/>
      </c>
      <c r="Y8">
        <f>HYPERLINK("https://klasma.github.io/Logging_141441/tillsynsmail/A 14442-2025 tillsynsbegäran mail.docx", "A 14442-2025")</f>
        <v/>
      </c>
      <c r="Z8">
        <f>HYPERLINK("https://klasma.github.io/Logging_141441/fåglar/A 14442-2025 prioriterade fågelarter.docx", "A 14442-2025")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45763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45763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45763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45763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45763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45763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45763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45763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45763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45763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45763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45763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45763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45763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45763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45763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45763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45763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45763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45763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45763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45763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45763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45763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45763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45763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45763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45763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45763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45763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45763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45763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45763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45763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45763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45763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45763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45763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45763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45763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45763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45763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45763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45763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45763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45763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45763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45763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45763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45763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45763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45763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45763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45763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45763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45763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45763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45763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45763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45763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45763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45763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45763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45763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45763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45763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45763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45763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45763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45763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45763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45763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45763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45763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45763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45763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45763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45763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45763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45763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45763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45763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45763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45763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45763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45763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45763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45763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45763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45763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45763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45763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45763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45763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45763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45763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45763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45763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45763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45763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45763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45763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45763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45763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45763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45763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45763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45763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45763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45763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45763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45763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45763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45763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45763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45763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45763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45763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45763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45763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45763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45763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45763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45763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45763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45763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45763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45763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45763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45763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45763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45763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45763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45763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45763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45763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45763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45763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45763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45763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45763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45763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45763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45763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45763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45763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45763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45763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45763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45763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45763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45763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45763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45763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45763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45763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45763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45763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45763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45763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45763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45763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45763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45763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45763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45763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45763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45763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45763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45763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45763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45763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45763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45763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45763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45763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45763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45763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45763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45763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45763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45763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45763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45763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45763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45763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45763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45763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45763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45763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45763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45763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18149-2025</t>
        </is>
      </c>
      <c r="B201" s="1" t="n">
        <v>45761</v>
      </c>
      <c r="C201" s="1" t="n">
        <v>45763</v>
      </c>
      <c r="D201" t="inlineStr">
        <is>
          <t>VÄSTRA GÖTALANDS LÄN</t>
        </is>
      </c>
      <c r="E201" t="inlineStr">
        <is>
          <t>LERUM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18151-2025</t>
        </is>
      </c>
      <c r="B202" s="1" t="n">
        <v>45761</v>
      </c>
      <c r="C202" s="1" t="n">
        <v>45763</v>
      </c>
      <c r="D202" t="inlineStr">
        <is>
          <t>VÄSTRA GÖTALANDS LÄN</t>
        </is>
      </c>
      <c r="E202" t="inlineStr">
        <is>
          <t>LERUM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18161-2025</t>
        </is>
      </c>
      <c r="B203" s="1" t="n">
        <v>45761</v>
      </c>
      <c r="C203" s="1" t="n">
        <v>45763</v>
      </c>
      <c r="D203" t="inlineStr">
        <is>
          <t>VÄSTRA GÖTALANDS LÄN</t>
        </is>
      </c>
      <c r="E203" t="inlineStr">
        <is>
          <t>LERUM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2025-04-16T16:47:19Z</dcterms:created>
  <dcterms:modified xmlns:dcterms="http://purl.org/dc/terms/" xmlns:xsi="http://www.w3.org/2001/XMLSchema-instance" xsi:type="dcterms:W3CDTF">2025-04-16T16:47:19Z</dcterms:modified>
</cp:coreProperties>
</file>