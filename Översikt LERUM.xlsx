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46316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42</v>
      </c>
      <c r="U2" t="n">
        <v>0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46316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46316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46316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46316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3543-2024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45320</v>
      </c>
      <c r="E7" s="1" t="n">
        <v>46316</v>
      </c>
      <c r="F7" t="inlineStr">
        <is>
          <t>VÄSTRA GÖTALANDS LÄN</t>
        </is>
      </c>
      <c r="G7" t="inlineStr">
        <is>
          <t>LERUM</t>
        </is>
      </c>
      <c r="I7" t="n">
        <v>3.9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Grönhjon
Dolkstekelsglasvinge
Spillkråka
Huggorm</t>
        </is>
      </c>
      <c r="W7">
        <f>HYPERLINK("https://klasma.github.io/Logging_1441/artfynd/A 3543-2024 artfynd.xlsx", "A 3543-2024")</f>
        <v/>
      </c>
      <c r="X7">
        <f>HYPERLINK("https://klasma.github.io/Logging_1441/kartor/A 3543-2024 karta.png", "A 3543-2024")</f>
        <v/>
      </c>
      <c r="Y7">
        <f>HYPERLINK("https://klasma.github.io/Logging_1441/kartor_geotiff/A 3543-2024 georefererad karta.tif", "A 3543-2024")</f>
        <v/>
      </c>
      <c r="AA7">
        <f>HYPERLINK("https://klasma.github.io/Logging_1441/klagomål/A 3543-2024 FSC-klagomål.docx", "A 3543-2024")</f>
        <v/>
      </c>
      <c r="AB7">
        <f>HYPERLINK("https://klasma.github.io/Logging_1441/klagomålsmail/A 3543-2024 FSC-klagomål mail.docx", "A 3543-2024")</f>
        <v/>
      </c>
      <c r="AC7">
        <f>HYPERLINK("https://klasma.github.io/Logging_1441/tillsyn/A 3543-2024 tillsynsbegäran.docx", "A 3543-2024")</f>
        <v/>
      </c>
      <c r="AD7">
        <f>HYPERLINK("https://klasma.github.io/Logging_1441/tillsynsmail/A 3543-2024 tillsynsbegäran mail.docx", "A 3543-2024")</f>
        <v/>
      </c>
      <c r="AE7">
        <f>HYPERLINK("https://klasma.github.io/Logging_1441/fåglar/A 3543-2024 prioriterade fågelarter.docx", "A 3543-2024")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46316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46316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46316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46316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46316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46316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46316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46316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46316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46316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46316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46316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46316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46316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46316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46316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46316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46316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46316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46316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46316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46316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46316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46316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46316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46316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46316</v>
      </c>
      <c r="F35" t="inlineStr">
        <is>
          <t>VÄSTRA GÖTALANDS LÄN</t>
        </is>
      </c>
      <c r="G35" t="inlineStr">
        <is>
          <t>LERUM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45887</v>
      </c>
      <c r="E36" s="1" t="n">
        <v>46316</v>
      </c>
      <c r="F36" t="inlineStr">
        <is>
          <t>VÄSTRA GÖTALANDS LÄN</t>
        </is>
      </c>
      <c r="G36" t="inlineStr">
        <is>
          <t>LERUM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61766-2025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46002</v>
      </c>
      <c r="E37" s="1" t="n">
        <v>46316</v>
      </c>
      <c r="F37" t="inlineStr">
        <is>
          <t>VÄSTRA GÖTALANDS LÄN</t>
        </is>
      </c>
      <c r="G37" t="inlineStr">
        <is>
          <t>LERUM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62769-2025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46008</v>
      </c>
      <c r="E38" s="1" t="n">
        <v>46316</v>
      </c>
      <c r="F38" t="inlineStr">
        <is>
          <t>VÄSTRA GÖTALANDS LÄN</t>
        </is>
      </c>
      <c r="G38" t="inlineStr">
        <is>
          <t>LERUM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62774-2025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46008</v>
      </c>
      <c r="E39" s="1" t="n">
        <v>46316</v>
      </c>
      <c r="F39" t="inlineStr">
        <is>
          <t>VÄSTRA GÖTALANDS LÄN</t>
        </is>
      </c>
      <c r="G39" t="inlineStr">
        <is>
          <t>LERUM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46316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46316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13156-2024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45386</v>
      </c>
      <c r="E42" s="1" t="n">
        <v>46316</v>
      </c>
      <c r="F42" t="inlineStr">
        <is>
          <t>VÄSTRA GÖTALANDS LÄN</t>
        </is>
      </c>
      <c r="G42" t="inlineStr">
        <is>
          <t>LERUM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45329</v>
      </c>
      <c r="E43" s="1" t="n">
        <v>46316</v>
      </c>
      <c r="F43" t="inlineStr">
        <is>
          <t>VÄSTRA GÖTALANDS LÄN</t>
        </is>
      </c>
      <c r="G43" t="inlineStr">
        <is>
          <t>LERUM</t>
        </is>
      </c>
      <c r="I43" t="n">
        <v>6.9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40848-2025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45897</v>
      </c>
      <c r="E44" s="1" t="n">
        <v>46316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27367-2025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45812</v>
      </c>
      <c r="E45" s="1" t="n">
        <v>46316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35199-2023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45145</v>
      </c>
      <c r="E46" s="1" t="n">
        <v>46316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46034</v>
      </c>
      <c r="E47" s="1" t="n">
        <v>46316</v>
      </c>
      <c r="F47" t="inlineStr">
        <is>
          <t>VÄSTRA GÖTALANDS LÄN</t>
        </is>
      </c>
      <c r="G47" t="inlineStr">
        <is>
          <t>LERUM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46316</v>
      </c>
      <c r="F48" t="inlineStr">
        <is>
          <t>VÄSTRA GÖTALANDS LÄN</t>
        </is>
      </c>
      <c r="G48" t="inlineStr">
        <is>
          <t>LERUM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45132-2025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45919</v>
      </c>
      <c r="E49" s="1" t="n">
        <v>46316</v>
      </c>
      <c r="F49" t="inlineStr">
        <is>
          <t>VÄSTRA GÖTALANDS LÄN</t>
        </is>
      </c>
      <c r="G49" t="inlineStr">
        <is>
          <t>LERUM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46316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46316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46316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20210-2023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45055</v>
      </c>
      <c r="E53" s="1" t="n">
        <v>46316</v>
      </c>
      <c r="F53" t="inlineStr">
        <is>
          <t>VÄSTRA GÖTALANDS LÄN</t>
        </is>
      </c>
      <c r="G53" t="inlineStr">
        <is>
          <t>LERUM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11232-2025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45726</v>
      </c>
      <c r="E54" s="1" t="n">
        <v>46316</v>
      </c>
      <c r="F54" t="inlineStr">
        <is>
          <t>VÄSTRA GÖTALANDS LÄN</t>
        </is>
      </c>
      <c r="G54" t="inlineStr">
        <is>
          <t>LERUM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46957-2025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45929</v>
      </c>
      <c r="E55" s="1" t="n">
        <v>46316</v>
      </c>
      <c r="F55" t="inlineStr">
        <is>
          <t>VÄSTRA GÖTALANDS LÄN</t>
        </is>
      </c>
      <c r="G55" t="inlineStr">
        <is>
          <t>LERUM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46316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46316</v>
      </c>
      <c r="F57" t="inlineStr">
        <is>
          <t>VÄSTRA GÖTALANDS LÄN</t>
        </is>
      </c>
      <c r="G57" t="inlineStr">
        <is>
          <t>LERUM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46316</v>
      </c>
      <c r="F58" t="inlineStr">
        <is>
          <t>VÄSTRA GÖTALANDS LÄN</t>
        </is>
      </c>
      <c r="G58" t="inlineStr">
        <is>
          <t>LERUM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46316</v>
      </c>
      <c r="F59" t="inlineStr">
        <is>
          <t>VÄSTRA GÖTALANDS LÄN</t>
        </is>
      </c>
      <c r="G59" t="inlineStr">
        <is>
          <t>LERUM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46316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44805</v>
      </c>
      <c r="E61" s="1" t="n">
        <v>46316</v>
      </c>
      <c r="F61" t="inlineStr">
        <is>
          <t>VÄSTRA GÖTALANDS LÄN</t>
        </is>
      </c>
      <c r="G61" t="inlineStr">
        <is>
          <t>LERUM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44943</v>
      </c>
      <c r="E62" s="1" t="n">
        <v>46316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46316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46316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46316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46316</v>
      </c>
      <c r="F66" t="inlineStr">
        <is>
          <t>VÄSTRA GÖTALANDS LÄN</t>
        </is>
      </c>
      <c r="G66" t="inlineStr">
        <is>
          <t>LERUM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46316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46316</v>
      </c>
      <c r="F68" t="inlineStr">
        <is>
          <t>VÄSTRA GÖTALANDS LÄN</t>
        </is>
      </c>
      <c r="G68" t="inlineStr">
        <is>
          <t>LERUM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46316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46316</v>
      </c>
      <c r="F70" t="inlineStr">
        <is>
          <t>VÄSTRA GÖTALANDS LÄN</t>
        </is>
      </c>
      <c r="G70" t="inlineStr">
        <is>
          <t>LERUM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28103-2022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46316</v>
      </c>
      <c r="F71" t="inlineStr">
        <is>
          <t>VÄSTRA GÖTALANDS LÄN</t>
        </is>
      </c>
      <c r="G71" t="inlineStr">
        <is>
          <t>LERUM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45971</v>
      </c>
      <c r="E72" s="1" t="n">
        <v>46316</v>
      </c>
      <c r="F72" t="inlineStr">
        <is>
          <t>VÄSTRA GÖTALANDS LÄN</t>
        </is>
      </c>
      <c r="G72" t="inlineStr">
        <is>
          <t>LERUM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46316</v>
      </c>
      <c r="F73" t="inlineStr">
        <is>
          <t>VÄSTRA GÖTALANDS LÄN</t>
        </is>
      </c>
      <c r="G73" t="inlineStr">
        <is>
          <t>LERUM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45835</v>
      </c>
      <c r="E74" s="1" t="n">
        <v>46316</v>
      </c>
      <c r="F74" t="inlineStr">
        <is>
          <t>VÄSTRA GÖTALANDS LÄN</t>
        </is>
      </c>
      <c r="G74" t="inlineStr">
        <is>
          <t>LERUM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45835</v>
      </c>
      <c r="E75" s="1" t="n">
        <v>46316</v>
      </c>
      <c r="F75" t="inlineStr">
        <is>
          <t>VÄSTRA GÖTALANDS LÄN</t>
        </is>
      </c>
      <c r="G75" t="inlineStr">
        <is>
          <t>LERUM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21133-2022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44704</v>
      </c>
      <c r="E76" s="1" t="n">
        <v>46316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46316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45982</v>
      </c>
      <c r="E78" s="1" t="n">
        <v>46316</v>
      </c>
      <c r="F78" t="inlineStr">
        <is>
          <t>VÄSTRA GÖTALANDS LÄN</t>
        </is>
      </c>
      <c r="G78" t="inlineStr">
        <is>
          <t>LERUM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45216</v>
      </c>
      <c r="E79" s="1" t="n">
        <v>46316</v>
      </c>
      <c r="F79" t="inlineStr">
        <is>
          <t>VÄSTRA GÖTALANDS LÄN</t>
        </is>
      </c>
      <c r="G79" t="inlineStr">
        <is>
          <t>LERUM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45216</v>
      </c>
      <c r="E80" s="1" t="n">
        <v>46316</v>
      </c>
      <c r="F80" t="inlineStr">
        <is>
          <t>VÄSTRA GÖTALANDS LÄN</t>
        </is>
      </c>
      <c r="G80" t="inlineStr">
        <is>
          <t>LERUM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44712</v>
      </c>
      <c r="E81" s="1" t="n">
        <v>46316</v>
      </c>
      <c r="F81" t="inlineStr">
        <is>
          <t>VÄSTRA GÖTALANDS LÄN</t>
        </is>
      </c>
      <c r="G81" t="inlineStr">
        <is>
          <t>LERUM</t>
        </is>
      </c>
      <c r="I81" t="n">
        <v>23.3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44828</v>
      </c>
      <c r="E82" s="1" t="n">
        <v>46316</v>
      </c>
      <c r="F82" t="inlineStr">
        <is>
          <t>VÄSTRA GÖTALANDS LÄN</t>
        </is>
      </c>
      <c r="G82" t="inlineStr">
        <is>
          <t>LERUM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46316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46316</v>
      </c>
      <c r="F84" t="inlineStr">
        <is>
          <t>VÄSTRA GÖTALANDS LÄN</t>
        </is>
      </c>
      <c r="G84" t="inlineStr">
        <is>
          <t>LERUM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46316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46316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46316</v>
      </c>
      <c r="F87" t="inlineStr">
        <is>
          <t>VÄSTRA GÖTALANDS LÄN</t>
        </is>
      </c>
      <c r="G87" t="inlineStr">
        <is>
          <t>LERUM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47866-2024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46316</v>
      </c>
      <c r="F88" t="inlineStr">
        <is>
          <t>VÄSTRA GÖTALANDS LÄN</t>
        </is>
      </c>
      <c r="G88" t="inlineStr">
        <is>
          <t>LERUM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46316</v>
      </c>
      <c r="F89" t="inlineStr">
        <is>
          <t>VÄSTRA GÖTALANDS LÄN</t>
        </is>
      </c>
      <c r="G89" t="inlineStr">
        <is>
          <t>LERUM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46316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7429-2024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45345</v>
      </c>
      <c r="E91" s="1" t="n">
        <v>46316</v>
      </c>
      <c r="F91" t="inlineStr">
        <is>
          <t>VÄSTRA GÖTALANDS LÄN</t>
        </is>
      </c>
      <c r="G91" t="inlineStr">
        <is>
          <t>LERUM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46316</v>
      </c>
      <c r="F92" t="inlineStr">
        <is>
          <t>VÄSTRA GÖTALANDS LÄN</t>
        </is>
      </c>
      <c r="G92" t="inlineStr">
        <is>
          <t>LERUM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45412</v>
      </c>
      <c r="E93" s="1" t="n">
        <v>46316</v>
      </c>
      <c r="F93" t="inlineStr">
        <is>
          <t>VÄSTRA GÖTALANDS LÄN</t>
        </is>
      </c>
      <c r="G93" t="inlineStr">
        <is>
          <t>LERUM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46316</v>
      </c>
      <c r="F94" t="inlineStr">
        <is>
          <t>VÄSTRA GÖTALANDS LÄN</t>
        </is>
      </c>
      <c r="G94" t="inlineStr">
        <is>
          <t>LERUM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45170</v>
      </c>
      <c r="E95" s="1" t="n">
        <v>46316</v>
      </c>
      <c r="F95" t="inlineStr">
        <is>
          <t>VÄSTRA GÖTALANDS LÄN</t>
        </is>
      </c>
      <c r="G95" t="inlineStr">
        <is>
          <t>LERUM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46316</v>
      </c>
      <c r="F96" t="inlineStr">
        <is>
          <t>VÄSTRA GÖTALANDS LÄN</t>
        </is>
      </c>
      <c r="G96" t="inlineStr">
        <is>
          <t>LERUM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24163-2024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45441</v>
      </c>
      <c r="E97" s="1" t="n">
        <v>46316</v>
      </c>
      <c r="F97" t="inlineStr">
        <is>
          <t>VÄSTRA GÖTALANDS LÄN</t>
        </is>
      </c>
      <c r="G97" t="inlineStr">
        <is>
          <t>LERUM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45392</v>
      </c>
      <c r="E98" s="1" t="n">
        <v>46316</v>
      </c>
      <c r="F98" t="inlineStr">
        <is>
          <t>VÄSTRA GÖTALANDS LÄN</t>
        </is>
      </c>
      <c r="G98" t="inlineStr">
        <is>
          <t>LERUM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44959</v>
      </c>
      <c r="E99" s="1" t="n">
        <v>46316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37639-2026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46276</v>
      </c>
      <c r="E100" s="1" t="n">
        <v>46316</v>
      </c>
      <c r="F100" t="inlineStr">
        <is>
          <t>VÄSTRA GÖTALANDS LÄN</t>
        </is>
      </c>
      <c r="G100" t="inlineStr">
        <is>
          <t>LERUM</t>
        </is>
      </c>
      <c r="I100" t="n">
        <v>11.6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45565</v>
      </c>
      <c r="E101" s="1" t="n">
        <v>46316</v>
      </c>
      <c r="F101" t="inlineStr">
        <is>
          <t>VÄSTRA GÖTALANDS LÄN</t>
        </is>
      </c>
      <c r="G101" t="inlineStr">
        <is>
          <t>LERUM</t>
        </is>
      </c>
      <c r="H101" t="inlineStr">
        <is>
          <t>Kyrkan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46316</v>
      </c>
      <c r="F102" t="inlineStr">
        <is>
          <t>VÄSTRA GÖTALANDS LÄN</t>
        </is>
      </c>
      <c r="G102" t="inlineStr">
        <is>
          <t>LERUM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39853-2026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46316</v>
      </c>
      <c r="F103" t="inlineStr">
        <is>
          <t>VÄSTRA GÖTALANDS LÄN</t>
        </is>
      </c>
      <c r="G103" t="inlineStr">
        <is>
          <t>LERUM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45476</v>
      </c>
      <c r="E104" s="1" t="n">
        <v>46316</v>
      </c>
      <c r="F104" t="inlineStr">
        <is>
          <t>VÄSTRA GÖTALANDS LÄN</t>
        </is>
      </c>
      <c r="G104" t="inlineStr">
        <is>
          <t>LERUM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45476</v>
      </c>
      <c r="E105" s="1" t="n">
        <v>46316</v>
      </c>
      <c r="F105" t="inlineStr">
        <is>
          <t>VÄSTRA GÖTALANDS LÄN</t>
        </is>
      </c>
      <c r="G105" t="inlineStr">
        <is>
          <t>LERUM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46316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46316</v>
      </c>
      <c r="F107" t="inlineStr">
        <is>
          <t>VÄSTRA GÖTALANDS LÄN</t>
        </is>
      </c>
      <c r="G107" t="inlineStr">
        <is>
          <t>LERUM</t>
        </is>
      </c>
      <c r="H107" t="inlineStr">
        <is>
          <t>Kyrkan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46316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46316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44710</v>
      </c>
      <c r="E110" s="1" t="n">
        <v>46316</v>
      </c>
      <c r="F110" t="inlineStr">
        <is>
          <t>VÄSTRA GÖTALANDS LÄN</t>
        </is>
      </c>
      <c r="G110" t="inlineStr">
        <is>
          <t>LERUM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46316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46316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2026-10-21T02:05:58Z</dcterms:created>
  <dcterms:modified xmlns:dcterms="http://purl.org/dc/terms/" xmlns:xsi="http://www.w3.org/2001/XMLSchema-instance" xsi:type="dcterms:W3CDTF">2026-10-21T02:05:59Z</dcterms:modified>
</cp:coreProperties>
</file>