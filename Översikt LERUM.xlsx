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46224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46224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46224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46224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46224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46224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46224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62755-2025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46008</v>
      </c>
      <c r="E14" s="1" t="n">
        <v>46224</v>
      </c>
      <c r="F14" t="inlineStr">
        <is>
          <t>VÄSTRA GÖTALANDS LÄN</t>
        </is>
      </c>
      <c r="G14" t="inlineStr">
        <is>
          <t>LERUM</t>
        </is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HYPERLINK("https://klasma.github.io/Logging_1441/artfynd/A 62755-2025 artfynd.xlsx", "A 62755-2025")</f>
        <v/>
      </c>
      <c r="X14">
        <f>HYPERLINK("https://klasma.github.io/Logging_1441/kartor/A 62755-2025 karta.png", "A 62755-2025")</f>
        <v/>
      </c>
      <c r="Y14">
        <f>HYPERLINK("https://klasma.github.io/Logging_1441/kartor_geotiff/A 62755-2025 georefererad karta.tif", "A 62755-2025")</f>
        <v/>
      </c>
      <c r="AA14">
        <f>HYPERLINK("https://klasma.github.io/Logging_1441/klagomål/A 62755-2025 FSC-klagomål.docx", "A 62755-2025")</f>
        <v/>
      </c>
      <c r="AB14">
        <f>HYPERLINK("https://klasma.github.io/Logging_1441/klagomålsmail/A 62755-2025 FSC-klagomål mail.docx", "A 62755-2025")</f>
        <v/>
      </c>
      <c r="AC14">
        <f>HYPERLINK("https://klasma.github.io/Logging_1441/tillsyn/A 62755-2025 tillsynsbegäran.docx", "A 62755-2025")</f>
        <v/>
      </c>
      <c r="AD14">
        <f>HYPERLINK("https://klasma.github.io/Logging_1441/tillsynsmail/A 62755-2025 tillsynsbegäran mail.docx", "A 62755-2025")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46224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46224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46224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46224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46224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46224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46224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46224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46224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46224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46224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46224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46224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46224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46224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46224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46224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46224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46224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46224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46224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46224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61762-2025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46002</v>
      </c>
      <c r="E38" s="1" t="n">
        <v>46224</v>
      </c>
      <c r="F38" t="inlineStr">
        <is>
          <t>VÄSTRA GÖTALANDS LÄN</t>
        </is>
      </c>
      <c r="G38" t="inlineStr">
        <is>
          <t>LERUM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46224</v>
      </c>
      <c r="F39" t="inlineStr">
        <is>
          <t>VÄSTRA GÖTALANDS LÄN</t>
        </is>
      </c>
      <c r="G39" t="inlineStr">
        <is>
          <t>LERUM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46002</v>
      </c>
      <c r="E40" s="1" t="n">
        <v>46224</v>
      </c>
      <c r="F40" t="inlineStr">
        <is>
          <t>VÄSTRA GÖTALANDS LÄN</t>
        </is>
      </c>
      <c r="G40" t="inlineStr">
        <is>
          <t>LERUM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46224</v>
      </c>
      <c r="F41" t="inlineStr">
        <is>
          <t>VÄSTRA GÖTALANDS LÄN</t>
        </is>
      </c>
      <c r="G41" t="inlineStr">
        <is>
          <t>LERUM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46224</v>
      </c>
      <c r="F42" t="inlineStr">
        <is>
          <t>VÄSTRA GÖTALANDS LÄN</t>
        </is>
      </c>
      <c r="G42" t="inlineStr">
        <is>
          <t>LERUM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62774-2025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46008</v>
      </c>
      <c r="E43" s="1" t="n">
        <v>46224</v>
      </c>
      <c r="F43" t="inlineStr">
        <is>
          <t>VÄSTRA GÖTALANDS LÄN</t>
        </is>
      </c>
      <c r="G43" t="inlineStr">
        <is>
          <t>LERUM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13156-2024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45386</v>
      </c>
      <c r="E44" s="1" t="n">
        <v>46224</v>
      </c>
      <c r="F44" t="inlineStr">
        <is>
          <t>VÄSTRA GÖTALANDS LÄN</t>
        </is>
      </c>
      <c r="G44" t="inlineStr">
        <is>
          <t>LERUM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62757-2025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46008</v>
      </c>
      <c r="E45" s="1" t="n">
        <v>46224</v>
      </c>
      <c r="F45" t="inlineStr">
        <is>
          <t>VÄSTRA GÖTALANDS LÄN</t>
        </is>
      </c>
      <c r="G45" t="inlineStr">
        <is>
          <t>LERUM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46224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46224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45805</v>
      </c>
      <c r="E48" s="1" t="n">
        <v>46224</v>
      </c>
      <c r="F48" t="inlineStr">
        <is>
          <t>VÄSTRA GÖTALANDS LÄN</t>
        </is>
      </c>
      <c r="G48" t="inlineStr">
        <is>
          <t>LERUM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27367-2025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45812</v>
      </c>
      <c r="E49" s="1" t="n">
        <v>46224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45329</v>
      </c>
      <c r="E50" s="1" t="n">
        <v>46224</v>
      </c>
      <c r="F50" t="inlineStr">
        <is>
          <t>VÄSTRA GÖTALANDS LÄN</t>
        </is>
      </c>
      <c r="G50" t="inlineStr">
        <is>
          <t>LERUM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45055</v>
      </c>
      <c r="E51" s="1" t="n">
        <v>46224</v>
      </c>
      <c r="F51" t="inlineStr">
        <is>
          <t>VÄSTRA GÖTALANDS LÄN</t>
        </is>
      </c>
      <c r="G51" t="inlineStr">
        <is>
          <t>LERUM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46224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46224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46224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46224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46224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46224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46224</v>
      </c>
      <c r="F58" t="inlineStr">
        <is>
          <t>VÄSTRA GÖTALANDS LÄN</t>
        </is>
      </c>
      <c r="G58" t="inlineStr">
        <is>
          <t>LERUM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46224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46224</v>
      </c>
      <c r="F60" t="inlineStr">
        <is>
          <t>VÄSTRA GÖTALANDS LÄN</t>
        </is>
      </c>
      <c r="G60" t="inlineStr">
        <is>
          <t>LERUM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46224</v>
      </c>
      <c r="F61" t="inlineStr">
        <is>
          <t>VÄSTRA GÖTALANDS LÄN</t>
        </is>
      </c>
      <c r="G61" t="inlineStr">
        <is>
          <t>LERUM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46224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46224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44943</v>
      </c>
      <c r="E64" s="1" t="n">
        <v>46224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46224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46224</v>
      </c>
      <c r="F66" t="inlineStr">
        <is>
          <t>VÄSTRA GÖTALANDS LÄN</t>
        </is>
      </c>
      <c r="G66" t="inlineStr">
        <is>
          <t>LERUM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46224</v>
      </c>
      <c r="F67" t="inlineStr">
        <is>
          <t>VÄSTRA GÖTALANDS LÄN</t>
        </is>
      </c>
      <c r="G67" t="inlineStr">
        <is>
          <t>LERUM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46224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46224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46224</v>
      </c>
      <c r="F70" t="inlineStr">
        <is>
          <t>VÄSTRA GÖTALANDS LÄN</t>
        </is>
      </c>
      <c r="G70" t="inlineStr">
        <is>
          <t>LERUM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45835</v>
      </c>
      <c r="E71" s="1" t="n">
        <v>46224</v>
      </c>
      <c r="F71" t="inlineStr">
        <is>
          <t>VÄSTRA GÖTALANDS LÄN</t>
        </is>
      </c>
      <c r="G71" t="inlineStr">
        <is>
          <t>LERUM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46224</v>
      </c>
      <c r="F72" t="inlineStr">
        <is>
          <t>VÄSTRA GÖTALANDS LÄN</t>
        </is>
      </c>
      <c r="G72" t="inlineStr">
        <is>
          <t>LERUM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46224</v>
      </c>
      <c r="F73" t="inlineStr">
        <is>
          <t>VÄSTRA GÖTALANDS LÄN</t>
        </is>
      </c>
      <c r="G73" t="inlineStr">
        <is>
          <t>LERUM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46224</v>
      </c>
      <c r="F74" t="inlineStr">
        <is>
          <t>VÄSTRA GÖTALANDS LÄN</t>
        </is>
      </c>
      <c r="G74" t="inlineStr">
        <is>
          <t>LERUM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46224</v>
      </c>
      <c r="F75" t="inlineStr">
        <is>
          <t>VÄSTRA GÖTALANDS LÄN</t>
        </is>
      </c>
      <c r="G75" t="inlineStr">
        <is>
          <t>LERUM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47866-2024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45588</v>
      </c>
      <c r="E76" s="1" t="n">
        <v>46224</v>
      </c>
      <c r="F76" t="inlineStr">
        <is>
          <t>VÄSTRA GÖTALANDS LÄN</t>
        </is>
      </c>
      <c r="G76" t="inlineStr">
        <is>
          <t>LERUM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46224</v>
      </c>
      <c r="F77" t="inlineStr">
        <is>
          <t>VÄSTRA GÖTALANDS LÄN</t>
        </is>
      </c>
      <c r="G77" t="inlineStr">
        <is>
          <t>LERUM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46034</v>
      </c>
      <c r="E78" s="1" t="n">
        <v>46224</v>
      </c>
      <c r="F78" t="inlineStr">
        <is>
          <t>VÄSTRA GÖTALANDS LÄN</t>
        </is>
      </c>
      <c r="G78" t="inlineStr">
        <is>
          <t>LERUM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46224</v>
      </c>
      <c r="F79" t="inlineStr">
        <is>
          <t>VÄSTRA GÖTALANDS LÄN</t>
        </is>
      </c>
      <c r="G79" t="inlineStr">
        <is>
          <t>LERUM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46224</v>
      </c>
      <c r="F80" t="inlineStr">
        <is>
          <t>VÄSTRA GÖTALANDS LÄN</t>
        </is>
      </c>
      <c r="G80" t="inlineStr">
        <is>
          <t>LERUM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46224</v>
      </c>
      <c r="F81" t="inlineStr">
        <is>
          <t>VÄSTRA GÖTALANDS LÄN</t>
        </is>
      </c>
      <c r="G81" t="inlineStr">
        <is>
          <t>LERUM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46224</v>
      </c>
      <c r="F82" t="inlineStr">
        <is>
          <t>VÄSTRA GÖTALANDS LÄN</t>
        </is>
      </c>
      <c r="G82" t="inlineStr">
        <is>
          <t>LERUM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45982</v>
      </c>
      <c r="E83" s="1" t="n">
        <v>46224</v>
      </c>
      <c r="F83" t="inlineStr">
        <is>
          <t>VÄSTRA GÖTALANDS LÄN</t>
        </is>
      </c>
      <c r="G83" t="inlineStr">
        <is>
          <t>LERUM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44828</v>
      </c>
      <c r="E84" s="1" t="n">
        <v>46224</v>
      </c>
      <c r="F84" t="inlineStr">
        <is>
          <t>VÄSTRA GÖTALANDS LÄN</t>
        </is>
      </c>
      <c r="G84" t="inlineStr">
        <is>
          <t>LERUM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11232-2025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45726</v>
      </c>
      <c r="E85" s="1" t="n">
        <v>46224</v>
      </c>
      <c r="F85" t="inlineStr">
        <is>
          <t>VÄSTRA GÖTALANDS LÄN</t>
        </is>
      </c>
      <c r="G85" t="inlineStr">
        <is>
          <t>LERUM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46224</v>
      </c>
      <c r="F86" t="inlineStr">
        <is>
          <t>VÄSTRA GÖTALANDS LÄN</t>
        </is>
      </c>
      <c r="G86" t="inlineStr">
        <is>
          <t>LERUM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46224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46224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46224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46224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44700</v>
      </c>
      <c r="E91" s="1" t="n">
        <v>46224</v>
      </c>
      <c r="F91" t="inlineStr">
        <is>
          <t>VÄSTRA GÖTALANDS LÄN</t>
        </is>
      </c>
      <c r="G91" t="inlineStr">
        <is>
          <t>LERUM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46224</v>
      </c>
      <c r="F92" t="inlineStr">
        <is>
          <t>VÄSTRA GÖTALANDS LÄN</t>
        </is>
      </c>
      <c r="G92" t="inlineStr">
        <is>
          <t>LERUM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45170</v>
      </c>
      <c r="E93" s="1" t="n">
        <v>46224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46224</v>
      </c>
      <c r="F94" t="inlineStr">
        <is>
          <t>VÄSTRA GÖTALANDS LÄN</t>
        </is>
      </c>
      <c r="G94" t="inlineStr">
        <is>
          <t>LERUM</t>
        </is>
      </c>
      <c r="I94" t="n">
        <v>23.3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46224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46224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46224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24163-2024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45441</v>
      </c>
      <c r="E98" s="1" t="n">
        <v>46224</v>
      </c>
      <c r="F98" t="inlineStr">
        <is>
          <t>VÄSTRA GÖTALANDS LÄN</t>
        </is>
      </c>
      <c r="G98" t="inlineStr">
        <is>
          <t>LERUM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46224</v>
      </c>
      <c r="F99" t="inlineStr">
        <is>
          <t>VÄSTRA GÖTALANDS LÄN</t>
        </is>
      </c>
      <c r="G99" t="inlineStr">
        <is>
          <t>LERUM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46224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44959</v>
      </c>
      <c r="E101" s="1" t="n">
        <v>46224</v>
      </c>
      <c r="F101" t="inlineStr">
        <is>
          <t>VÄSTRA GÖTALANDS LÄN</t>
        </is>
      </c>
      <c r="G101" t="inlineStr">
        <is>
          <t>LERUM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46224</v>
      </c>
      <c r="F102" t="inlineStr">
        <is>
          <t>VÄSTRA GÖTALANDS LÄN</t>
        </is>
      </c>
      <c r="G102" t="inlineStr">
        <is>
          <t>LERUM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46224</v>
      </c>
      <c r="F103" t="inlineStr">
        <is>
          <t>VÄSTRA GÖTALANDS LÄN</t>
        </is>
      </c>
      <c r="G103" t="inlineStr">
        <is>
          <t>LERUM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46224</v>
      </c>
      <c r="F104" t="inlineStr">
        <is>
          <t>VÄSTRA GÖTALANDS LÄN</t>
        </is>
      </c>
      <c r="G104" t="inlineStr">
        <is>
          <t>LERUM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46224</v>
      </c>
      <c r="F105" t="inlineStr">
        <is>
          <t>VÄSTRA GÖTALANDS LÄN</t>
        </is>
      </c>
      <c r="G105" t="inlineStr">
        <is>
          <t>LERUM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46224</v>
      </c>
      <c r="F106" t="inlineStr">
        <is>
          <t>VÄSTRA GÖTALANDS LÄN</t>
        </is>
      </c>
      <c r="G106" t="inlineStr">
        <is>
          <t>LERUM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46224</v>
      </c>
      <c r="F107" t="inlineStr">
        <is>
          <t>VÄSTRA GÖTALANDS LÄN</t>
        </is>
      </c>
      <c r="G107" t="inlineStr">
        <is>
          <t>LERUM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46224</v>
      </c>
      <c r="F108" t="inlineStr">
        <is>
          <t>VÄSTRA GÖTALANDS LÄN</t>
        </is>
      </c>
      <c r="G108" t="inlineStr">
        <is>
          <t>LERUM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46224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46224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46224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46224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44710</v>
      </c>
      <c r="E113" s="1" t="n">
        <v>46224</v>
      </c>
      <c r="F113" t="inlineStr">
        <is>
          <t>VÄSTRA GÖTALANDS LÄN</t>
        </is>
      </c>
      <c r="G113" t="inlineStr">
        <is>
          <t>LERUM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46224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46224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2026-07-21T01:35:44Z</dcterms:created>
  <dcterms:modified xmlns:dcterms="http://purl.org/dc/terms/" xmlns:xsi="http://www.w3.org/2001/XMLSchema-instance" xsi:type="dcterms:W3CDTF">2026-07-21T01:35:44Z</dcterms:modified>
</cp:coreProperties>
</file>