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46263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46263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46263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46263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46263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46263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51900-2021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46263</v>
      </c>
      <c r="F15" t="inlineStr">
        <is>
          <t>VÄSTRA GÖTALANDS LÄN</t>
        </is>
      </c>
      <c r="G15" t="inlineStr">
        <is>
          <t>LERUM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HYPERLINK("https://klasma.github.io/Logging_1441/artfynd/A 51900-2021 artfynd.xlsx", "A 51900-2021")</f>
        <v/>
      </c>
      <c r="X15">
        <f>HYPERLINK("https://klasma.github.io/Logging_1441/kartor/A 51900-2021 karta.png", "A 51900-2021")</f>
        <v/>
      </c>
      <c r="Y15">
        <f>HYPERLINK("https://klasma.github.io/Logging_1441/kartor_geotiff/A 51900-2021 georefererad karta.tif", "A 51900-2021")</f>
        <v/>
      </c>
      <c r="AA15">
        <f>HYPERLINK("https://klasma.github.io/Logging_1441/klagomål/A 51900-2021 FSC-klagomål.docx", "A 51900-2021")</f>
        <v/>
      </c>
      <c r="AB15">
        <f>HYPERLINK("https://klasma.github.io/Logging_1441/klagomålsmail/A 51900-2021 FSC-klagomål mail.docx", "A 51900-2021")</f>
        <v/>
      </c>
      <c r="AC15">
        <f>HYPERLINK("https://klasma.github.io/Logging_1441/tillsyn/A 51900-2021 tillsynsbegäran.docx", "A 51900-2021")</f>
        <v/>
      </c>
      <c r="AD15">
        <f>HYPERLINK("https://klasma.github.io/Logging_1441/tillsynsmail/A 51900-2021 tillsynsbegäran mail.docx", "A 51900-2021")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46263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46263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46263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46263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46263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46263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46263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46263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46263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46263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46263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46263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46263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46263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46263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46263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46263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46263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46263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46263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46263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46263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46263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46263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46263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46263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46263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46263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46263</v>
      </c>
      <c r="F45" t="inlineStr">
        <is>
          <t>VÄSTRA GÖTALANDS LÄN</t>
        </is>
      </c>
      <c r="G45" t="inlineStr">
        <is>
          <t>LERUM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55429-2025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46263</v>
      </c>
      <c r="F46" t="inlineStr">
        <is>
          <t>VÄSTRA GÖTALANDS LÄN</t>
        </is>
      </c>
      <c r="G46" t="inlineStr">
        <is>
          <t>LERUM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46263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56672-2025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45975</v>
      </c>
      <c r="E48" s="1" t="n">
        <v>46263</v>
      </c>
      <c r="F48" t="inlineStr">
        <is>
          <t>VÄSTRA GÖTALANDS LÄN</t>
        </is>
      </c>
      <c r="G48" t="inlineStr">
        <is>
          <t>LERUM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46263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46263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46263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46263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46263</v>
      </c>
      <c r="F53" t="inlineStr">
        <is>
          <t>VÄSTRA GÖTALANDS LÄN</t>
        </is>
      </c>
      <c r="G53" t="inlineStr">
        <is>
          <t>LERUM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58042-2025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45982</v>
      </c>
      <c r="E54" s="1" t="n">
        <v>46263</v>
      </c>
      <c r="F54" t="inlineStr">
        <is>
          <t>VÄSTRA GÖTALANDS LÄN</t>
        </is>
      </c>
      <c r="G54" t="inlineStr">
        <is>
          <t>LERUM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46263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46263</v>
      </c>
      <c r="F56" t="inlineStr">
        <is>
          <t>VÄSTRA GÖTALANDS LÄN</t>
        </is>
      </c>
      <c r="G56" t="inlineStr">
        <is>
          <t>LERUM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45476</v>
      </c>
      <c r="E57" s="1" t="n">
        <v>46263</v>
      </c>
      <c r="F57" t="inlineStr">
        <is>
          <t>VÄSTRA GÖTALANDS LÄN</t>
        </is>
      </c>
      <c r="G57" t="inlineStr">
        <is>
          <t>LERUM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46263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46263</v>
      </c>
      <c r="F59" t="inlineStr">
        <is>
          <t>VÄSTRA GÖTALANDS LÄN</t>
        </is>
      </c>
      <c r="G59" t="inlineStr">
        <is>
          <t>LERUM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46263</v>
      </c>
      <c r="F60" t="inlineStr">
        <is>
          <t>VÄSTRA GÖTALANDS LÄN</t>
        </is>
      </c>
      <c r="G60" t="inlineStr">
        <is>
          <t>LERUM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46263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46263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46263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46263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46263</v>
      </c>
      <c r="F65" t="inlineStr">
        <is>
          <t>VÄSTRA GÖTALANDS LÄN</t>
        </is>
      </c>
      <c r="G65" t="inlineStr">
        <is>
          <t>LERUM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46263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46263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46263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27367-2025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45812</v>
      </c>
      <c r="E69" s="1" t="n">
        <v>46263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46263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46263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46263</v>
      </c>
      <c r="F72" t="inlineStr">
        <is>
          <t>VÄSTRA GÖTALANDS LÄN</t>
        </is>
      </c>
      <c r="G72" t="inlineStr">
        <is>
          <t>LERUM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46263</v>
      </c>
      <c r="F73" t="inlineStr">
        <is>
          <t>VÄSTRA GÖTALANDS LÄN</t>
        </is>
      </c>
      <c r="G73" t="inlineStr">
        <is>
          <t>LERUM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35199-2023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45145</v>
      </c>
      <c r="E74" s="1" t="n">
        <v>46263</v>
      </c>
      <c r="F74" t="inlineStr">
        <is>
          <t>VÄSTRA GÖTALANDS LÄN</t>
        </is>
      </c>
      <c r="G74" t="inlineStr">
        <is>
          <t>LERUM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46263</v>
      </c>
      <c r="F75" t="inlineStr">
        <is>
          <t>VÄSTRA GÖTALANDS LÄN</t>
        </is>
      </c>
      <c r="G75" t="inlineStr">
        <is>
          <t>LERUM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45835</v>
      </c>
      <c r="E76" s="1" t="n">
        <v>46263</v>
      </c>
      <c r="F76" t="inlineStr">
        <is>
          <t>VÄSTRA GÖTALANDS LÄN</t>
        </is>
      </c>
      <c r="G76" t="inlineStr">
        <is>
          <t>LERUM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45565</v>
      </c>
      <c r="E77" s="1" t="n">
        <v>46263</v>
      </c>
      <c r="F77" t="inlineStr">
        <is>
          <t>VÄSTRA GÖTALANDS LÄN</t>
        </is>
      </c>
      <c r="G77" t="inlineStr">
        <is>
          <t>LERUM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46263</v>
      </c>
      <c r="F78" t="inlineStr">
        <is>
          <t>VÄSTRA GÖTALANDS LÄN</t>
        </is>
      </c>
      <c r="G78" t="inlineStr">
        <is>
          <t>LERUM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46263</v>
      </c>
      <c r="F79" t="inlineStr">
        <is>
          <t>VÄSTRA GÖTALANDS LÄN</t>
        </is>
      </c>
      <c r="G79" t="inlineStr">
        <is>
          <t>LERUM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46263</v>
      </c>
      <c r="F80" t="inlineStr">
        <is>
          <t>VÄSTRA GÖTALANDS LÄN</t>
        </is>
      </c>
      <c r="G80" t="inlineStr">
        <is>
          <t>LERUM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46263</v>
      </c>
      <c r="F81" t="inlineStr">
        <is>
          <t>VÄSTRA GÖTALANDS LÄN</t>
        </is>
      </c>
      <c r="G81" t="inlineStr">
        <is>
          <t>LERUM</t>
        </is>
      </c>
      <c r="H81" t="inlineStr">
        <is>
          <t>Kyrkan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46263</v>
      </c>
      <c r="F82" t="inlineStr">
        <is>
          <t>VÄSTRA GÖTALANDS LÄN</t>
        </is>
      </c>
      <c r="G82" t="inlineStr">
        <is>
          <t>LERUM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45386</v>
      </c>
      <c r="E83" s="1" t="n">
        <v>46263</v>
      </c>
      <c r="F83" t="inlineStr">
        <is>
          <t>VÄSTRA GÖTALANDS LÄN</t>
        </is>
      </c>
      <c r="G83" t="inlineStr">
        <is>
          <t>LERUM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46263</v>
      </c>
      <c r="F84" t="inlineStr">
        <is>
          <t>VÄSTRA GÖTALANDS LÄN</t>
        </is>
      </c>
      <c r="G84" t="inlineStr">
        <is>
          <t>LERUM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46263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46263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46263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46263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46263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11232-2025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45726</v>
      </c>
      <c r="E90" s="1" t="n">
        <v>46263</v>
      </c>
      <c r="F90" t="inlineStr">
        <is>
          <t>VÄSTRA GÖTALANDS LÄN</t>
        </is>
      </c>
      <c r="G90" t="inlineStr">
        <is>
          <t>LERUM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46263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46263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45055</v>
      </c>
      <c r="E93" s="1" t="n">
        <v>46263</v>
      </c>
      <c r="F93" t="inlineStr">
        <is>
          <t>VÄSTRA GÖTALANDS LÄN</t>
        </is>
      </c>
      <c r="G93" t="inlineStr">
        <is>
          <t>LERUM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21133-2022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44704</v>
      </c>
      <c r="E94" s="1" t="n">
        <v>46263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46263</v>
      </c>
      <c r="F95" t="inlineStr">
        <is>
          <t>VÄSTRA GÖTALANDS LÄN</t>
        </is>
      </c>
      <c r="G95" t="inlineStr">
        <is>
          <t>LERUM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46132</v>
      </c>
      <c r="E96" s="1" t="n">
        <v>46263</v>
      </c>
      <c r="F96" t="inlineStr">
        <is>
          <t>VÄSTRA GÖTALANDS LÄN</t>
        </is>
      </c>
      <c r="G96" t="inlineStr">
        <is>
          <t>LERUM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44710</v>
      </c>
      <c r="E97" s="1" t="n">
        <v>46263</v>
      </c>
      <c r="F97" t="inlineStr">
        <is>
          <t>VÄSTRA GÖTALANDS LÄN</t>
        </is>
      </c>
      <c r="G97" t="inlineStr">
        <is>
          <t>LERUM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46263</v>
      </c>
      <c r="F98" t="inlineStr">
        <is>
          <t>VÄSTRA GÖTALANDS LÄN</t>
        </is>
      </c>
      <c r="G98" t="inlineStr">
        <is>
          <t>LERUM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45723</v>
      </c>
      <c r="E99" s="1" t="n">
        <v>46263</v>
      </c>
      <c r="F99" t="inlineStr">
        <is>
          <t>VÄSTRA GÖTALANDS LÄN</t>
        </is>
      </c>
      <c r="G99" t="inlineStr">
        <is>
          <t>LERUM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46263</v>
      </c>
      <c r="F100" t="inlineStr">
        <is>
          <t>VÄSTRA GÖTALANDS LÄN</t>
        </is>
      </c>
      <c r="G100" t="inlineStr">
        <is>
          <t>LERUM</t>
        </is>
      </c>
      <c r="I100" t="n">
        <v>23.3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46263</v>
      </c>
      <c r="F101" t="inlineStr">
        <is>
          <t>VÄSTRA GÖTALANDS LÄN</t>
        </is>
      </c>
      <c r="G101" t="inlineStr">
        <is>
          <t>LERUM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46263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24163-2024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45441</v>
      </c>
      <c r="E103" s="1" t="n">
        <v>46263</v>
      </c>
      <c r="F103" t="inlineStr">
        <is>
          <t>VÄSTRA GÖTALANDS LÄN</t>
        </is>
      </c>
      <c r="G103" t="inlineStr">
        <is>
          <t>LERUM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46263</v>
      </c>
      <c r="F104" t="inlineStr">
        <is>
          <t>VÄSTRA GÖTALANDS LÄN</t>
        </is>
      </c>
      <c r="G104" t="inlineStr">
        <is>
          <t>LERUM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46263</v>
      </c>
      <c r="F105" t="inlineStr">
        <is>
          <t>VÄSTRA GÖTALANDS LÄN</t>
        </is>
      </c>
      <c r="G105" t="inlineStr">
        <is>
          <t>LERUM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44959</v>
      </c>
      <c r="E106" s="1" t="n">
        <v>46263</v>
      </c>
      <c r="F106" t="inlineStr">
        <is>
          <t>VÄSTRA GÖTALANDS LÄN</t>
        </is>
      </c>
      <c r="G106" t="inlineStr">
        <is>
          <t>LERUM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46263</v>
      </c>
      <c r="F107" t="inlineStr">
        <is>
          <t>VÄSTRA GÖTALANDS LÄN</t>
        </is>
      </c>
      <c r="G107" t="inlineStr">
        <is>
          <t>LERUM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46263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46263</v>
      </c>
      <c r="F109" t="inlineStr">
        <is>
          <t>VÄSTRA GÖTALANDS LÄN</t>
        </is>
      </c>
      <c r="G109" t="inlineStr">
        <is>
          <t>LERUM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46263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46263</v>
      </c>
      <c r="F111" t="inlineStr">
        <is>
          <t>VÄSTRA GÖTALANDS LÄN</t>
        </is>
      </c>
      <c r="G111" t="inlineStr">
        <is>
          <t>LERUM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46263</v>
      </c>
      <c r="F112" t="inlineStr">
        <is>
          <t>VÄSTRA GÖTALANDS LÄN</t>
        </is>
      </c>
      <c r="G112" t="inlineStr">
        <is>
          <t>LERUM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46263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46263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46263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46263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2026-08-29T01:53:24Z</dcterms:created>
  <dcterms:modified xmlns:dcterms="http://purl.org/dc/terms/" xmlns:xsi="http://www.w3.org/2001/XMLSchema-instance" xsi:type="dcterms:W3CDTF">2026-08-29T01:53:24Z</dcterms:modified>
</cp:coreProperties>
</file>