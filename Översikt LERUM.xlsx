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46280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46280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46280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46280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46280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62755-2025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46008</v>
      </c>
      <c r="E14" s="1" t="n">
        <v>46280</v>
      </c>
      <c r="F14" t="inlineStr">
        <is>
          <t>VÄSTRA GÖTALANDS LÄN</t>
        </is>
      </c>
      <c r="G14" t="inlineStr">
        <is>
          <t>LERUM</t>
        </is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HYPERLINK("https://klasma.github.io/Logging_1441/artfynd/A 62755-2025 artfynd.xlsx", "A 62755-2025")</f>
        <v/>
      </c>
      <c r="X14">
        <f>HYPERLINK("https://klasma.github.io/Logging_1441/kartor/A 62755-2025 karta.png", "A 62755-2025")</f>
        <v/>
      </c>
      <c r="Y14">
        <f>HYPERLINK("https://klasma.github.io/Logging_1441/kartor_geotiff/A 62755-2025 georefererad karta.tif", "A 62755-2025")</f>
        <v/>
      </c>
      <c r="AA14">
        <f>HYPERLINK("https://klasma.github.io/Logging_1441/klagomål/A 62755-2025 FSC-klagomål.docx", "A 62755-2025")</f>
        <v/>
      </c>
      <c r="AB14">
        <f>HYPERLINK("https://klasma.github.io/Logging_1441/klagomålsmail/A 62755-2025 FSC-klagomål mail.docx", "A 62755-2025")</f>
        <v/>
      </c>
      <c r="AC14">
        <f>HYPERLINK("https://klasma.github.io/Logging_1441/tillsyn/A 62755-2025 tillsynsbegäran.docx", "A 62755-2025")</f>
        <v/>
      </c>
      <c r="AD14">
        <f>HYPERLINK("https://klasma.github.io/Logging_1441/tillsynsmail/A 62755-2025 tillsynsbegäran mail.docx", "A 62755-2025")</f>
        <v/>
      </c>
    </row>
    <row r="15" ht="15" customHeight="1">
      <c r="A15" t="inlineStr">
        <is>
          <t>A 64855-2023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45282</v>
      </c>
      <c r="E15" s="1" t="n">
        <v>46280</v>
      </c>
      <c r="F15" t="inlineStr">
        <is>
          <t>VÄSTRA GÖTALANDS LÄN</t>
        </is>
      </c>
      <c r="G15" t="inlineStr">
        <is>
          <t>LERUM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Havsörn</t>
        </is>
      </c>
      <c r="W15">
        <f>HYPERLINK("https://klasma.github.io/Logging_1441/artfynd/A 64855-2023 artfynd.xlsx", "A 64855-2023")</f>
        <v/>
      </c>
      <c r="X15">
        <f>HYPERLINK("https://klasma.github.io/Logging_1441/kartor/A 64855-2023 karta.png", "A 64855-2023")</f>
        <v/>
      </c>
      <c r="Y15">
        <f>HYPERLINK("https://klasma.github.io/Logging_1441/kartor_geotiff/A 64855-2023 georefererad karta.tif", "A 64855-2023")</f>
        <v/>
      </c>
      <c r="AA15">
        <f>HYPERLINK("https://klasma.github.io/Logging_1441/klagomål/A 64855-2023 FSC-klagomål.docx", "A 64855-2023")</f>
        <v/>
      </c>
      <c r="AB15">
        <f>HYPERLINK("https://klasma.github.io/Logging_1441/klagomålsmail/A 64855-2023 FSC-klagomål mail.docx", "A 64855-2023")</f>
        <v/>
      </c>
      <c r="AC15">
        <f>HYPERLINK("https://klasma.github.io/Logging_1441/tillsyn/A 64855-2023 tillsynsbegäran.docx", "A 64855-2023")</f>
        <v/>
      </c>
      <c r="AD15">
        <f>HYPERLINK("https://klasma.github.io/Logging_1441/tillsynsmail/A 64855-2023 tillsynsbegäran mail.docx", "A 64855-2023")</f>
        <v/>
      </c>
      <c r="AE15">
        <f>HYPERLINK("https://klasma.github.io/Logging_1441/fåglar/A 64855-2023 prioriterade fågelarter.docx", "A 64855-2023")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46280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46280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46280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46280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46280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46280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46280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46280</v>
      </c>
      <c r="F38" t="inlineStr">
        <is>
          <t>VÄSTRA GÖTALANDS LÄN</t>
        </is>
      </c>
      <c r="G38" t="inlineStr">
        <is>
          <t>LERUM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46280</v>
      </c>
      <c r="F39" t="inlineStr">
        <is>
          <t>VÄSTRA GÖTALANDS LÄN</t>
        </is>
      </c>
      <c r="G39" t="inlineStr">
        <is>
          <t>LERUM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62774-2025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46008</v>
      </c>
      <c r="E40" s="1" t="n">
        <v>46280</v>
      </c>
      <c r="F40" t="inlineStr">
        <is>
          <t>VÄSTRA GÖTALANDS LÄN</t>
        </is>
      </c>
      <c r="G40" t="inlineStr">
        <is>
          <t>LERUM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13156-2024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45386</v>
      </c>
      <c r="E41" s="1" t="n">
        <v>46280</v>
      </c>
      <c r="F41" t="inlineStr">
        <is>
          <t>VÄSTRA GÖTALANDS LÄN</t>
        </is>
      </c>
      <c r="G41" t="inlineStr">
        <is>
          <t>LERUM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46280</v>
      </c>
      <c r="F42" t="inlineStr">
        <is>
          <t>VÄSTRA GÖTALANDS LÄN</t>
        </is>
      </c>
      <c r="G42" t="inlineStr">
        <is>
          <t>LERUM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45805</v>
      </c>
      <c r="E43" s="1" t="n">
        <v>46280</v>
      </c>
      <c r="F43" t="inlineStr">
        <is>
          <t>VÄSTRA GÖTALANDS LÄN</t>
        </is>
      </c>
      <c r="G43" t="inlineStr">
        <is>
          <t>LERUM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45329</v>
      </c>
      <c r="E44" s="1" t="n">
        <v>46280</v>
      </c>
      <c r="F44" t="inlineStr">
        <is>
          <t>VÄSTRA GÖTALANDS LÄN</t>
        </is>
      </c>
      <c r="G44" t="inlineStr">
        <is>
          <t>LERUM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46280</v>
      </c>
      <c r="F45" t="inlineStr">
        <is>
          <t>VÄSTRA GÖTALANDS LÄN</t>
        </is>
      </c>
      <c r="G45" t="inlineStr">
        <is>
          <t>LERUM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27367-2025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45812</v>
      </c>
      <c r="E46" s="1" t="n">
        <v>46280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46280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45897</v>
      </c>
      <c r="E48" s="1" t="n">
        <v>46280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46034</v>
      </c>
      <c r="E49" s="1" t="n">
        <v>46280</v>
      </c>
      <c r="F49" t="inlineStr">
        <is>
          <t>VÄSTRA GÖTALANDS LÄN</t>
        </is>
      </c>
      <c r="G49" t="inlineStr">
        <is>
          <t>LERUM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46280</v>
      </c>
      <c r="F50" t="inlineStr">
        <is>
          <t>VÄSTRA GÖTALANDS LÄN</t>
        </is>
      </c>
      <c r="G50" t="inlineStr">
        <is>
          <t>LERUM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46280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45055</v>
      </c>
      <c r="E52" s="1" t="n">
        <v>46280</v>
      </c>
      <c r="F52" t="inlineStr">
        <is>
          <t>VÄSTRA GÖTALANDS LÄN</t>
        </is>
      </c>
      <c r="G52" t="inlineStr">
        <is>
          <t>LERUM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46280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46280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46280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46280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46280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11232-2025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45726</v>
      </c>
      <c r="E58" s="1" t="n">
        <v>46280</v>
      </c>
      <c r="F58" t="inlineStr">
        <is>
          <t>VÄSTRA GÖTALANDS LÄN</t>
        </is>
      </c>
      <c r="G58" t="inlineStr">
        <is>
          <t>LERUM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46280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44721</v>
      </c>
      <c r="E60" s="1" t="n">
        <v>46280</v>
      </c>
      <c r="F60" t="inlineStr">
        <is>
          <t>VÄSTRA GÖTALANDS LÄN</t>
        </is>
      </c>
      <c r="G60" t="inlineStr">
        <is>
          <t>LERUM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46280</v>
      </c>
      <c r="F61" t="inlineStr">
        <is>
          <t>VÄSTRA GÖTALANDS LÄN</t>
        </is>
      </c>
      <c r="G61" t="inlineStr">
        <is>
          <t>LERUM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46280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46280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46280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46280</v>
      </c>
      <c r="F65" t="inlineStr">
        <is>
          <t>VÄSTRA GÖTALANDS LÄN</t>
        </is>
      </c>
      <c r="G65" t="inlineStr">
        <is>
          <t>LERUM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46280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46280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46280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46280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46280</v>
      </c>
      <c r="F70" t="inlineStr">
        <is>
          <t>VÄSTRA GÖTALANDS LÄN</t>
        </is>
      </c>
      <c r="G70" t="inlineStr">
        <is>
          <t>LERUM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46280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46280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46280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46280</v>
      </c>
      <c r="F74" t="inlineStr">
        <is>
          <t>VÄSTRA GÖTALANDS LÄN</t>
        </is>
      </c>
      <c r="G74" t="inlineStr">
        <is>
          <t>LERUM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46280</v>
      </c>
      <c r="F75" t="inlineStr">
        <is>
          <t>VÄSTRA GÖTALANDS LÄN</t>
        </is>
      </c>
      <c r="G75" t="inlineStr">
        <is>
          <t>LERUM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46280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46280</v>
      </c>
      <c r="F77" t="inlineStr">
        <is>
          <t>VÄSTRA GÖTALANDS LÄN</t>
        </is>
      </c>
      <c r="G77" t="inlineStr">
        <is>
          <t>LERUM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46280</v>
      </c>
      <c r="F78" t="inlineStr">
        <is>
          <t>VÄSTRA GÖTALANDS LÄN</t>
        </is>
      </c>
      <c r="G78" t="inlineStr">
        <is>
          <t>LERUM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21133-2022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44704</v>
      </c>
      <c r="E79" s="1" t="n">
        <v>46280</v>
      </c>
      <c r="F79" t="inlineStr">
        <is>
          <t>VÄSTRA GÖTALANDS LÄN</t>
        </is>
      </c>
      <c r="G79" t="inlineStr">
        <is>
          <t>LERUM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46280</v>
      </c>
      <c r="F80" t="inlineStr">
        <is>
          <t>VÄSTRA GÖTALANDS LÄN</t>
        </is>
      </c>
      <c r="G80" t="inlineStr">
        <is>
          <t>LERUM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46280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46280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46280</v>
      </c>
      <c r="F83" t="inlineStr">
        <is>
          <t>VÄSTRA GÖTALANDS LÄN</t>
        </is>
      </c>
      <c r="G83" t="inlineStr">
        <is>
          <t>LERUM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46280</v>
      </c>
      <c r="F84" t="inlineStr">
        <is>
          <t>VÄSTRA GÖTALANDS LÄN</t>
        </is>
      </c>
      <c r="G84" t="inlineStr">
        <is>
          <t>LERUM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44712</v>
      </c>
      <c r="E85" s="1" t="n">
        <v>46280</v>
      </c>
      <c r="F85" t="inlineStr">
        <is>
          <t>VÄSTRA GÖTALANDS LÄN</t>
        </is>
      </c>
      <c r="G85" t="inlineStr">
        <is>
          <t>LERUM</t>
        </is>
      </c>
      <c r="I85" t="n">
        <v>23.3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46280</v>
      </c>
      <c r="F86" t="inlineStr">
        <is>
          <t>VÄSTRA GÖTALANDS LÄN</t>
        </is>
      </c>
      <c r="G86" t="inlineStr">
        <is>
          <t>LERUM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44828</v>
      </c>
      <c r="E87" s="1" t="n">
        <v>46280</v>
      </c>
      <c r="F87" t="inlineStr">
        <is>
          <t>VÄSTRA GÖTALANDS LÄN</t>
        </is>
      </c>
      <c r="G87" t="inlineStr">
        <is>
          <t>LERUM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46280</v>
      </c>
      <c r="F88" t="inlineStr">
        <is>
          <t>VÄSTRA GÖTALANDS LÄN</t>
        </is>
      </c>
      <c r="G88" t="inlineStr">
        <is>
          <t>LERUM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46280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46280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46280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46280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46280</v>
      </c>
      <c r="F93" t="inlineStr">
        <is>
          <t>VÄSTRA GÖTALANDS LÄN</t>
        </is>
      </c>
      <c r="G93" t="inlineStr">
        <is>
          <t>LERUM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46280</v>
      </c>
      <c r="F94" t="inlineStr">
        <is>
          <t>VÄSTRA GÖTALANDS LÄN</t>
        </is>
      </c>
      <c r="G94" t="inlineStr">
        <is>
          <t>LERUM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46280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46280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46280</v>
      </c>
      <c r="F97" t="inlineStr">
        <is>
          <t>VÄSTRA GÖTALANDS LÄN</t>
        </is>
      </c>
      <c r="G97" t="inlineStr">
        <is>
          <t>LERUM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45345</v>
      </c>
      <c r="E98" s="1" t="n">
        <v>46280</v>
      </c>
      <c r="F98" t="inlineStr">
        <is>
          <t>VÄSTRA GÖTALANDS LÄN</t>
        </is>
      </c>
      <c r="G98" t="inlineStr">
        <is>
          <t>LERUM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46280</v>
      </c>
      <c r="F99" t="inlineStr">
        <is>
          <t>VÄSTRA GÖTALANDS LÄN</t>
        </is>
      </c>
      <c r="G99" t="inlineStr">
        <is>
          <t>LERUM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45412</v>
      </c>
      <c r="E100" s="1" t="n">
        <v>46280</v>
      </c>
      <c r="F100" t="inlineStr">
        <is>
          <t>VÄSTRA GÖTALANDS LÄN</t>
        </is>
      </c>
      <c r="G100" t="inlineStr">
        <is>
          <t>LERUM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46280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44700</v>
      </c>
      <c r="E102" s="1" t="n">
        <v>46280</v>
      </c>
      <c r="F102" t="inlineStr">
        <is>
          <t>VÄSTRA GÖTALANDS LÄN</t>
        </is>
      </c>
      <c r="G102" t="inlineStr">
        <is>
          <t>LERUM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46280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46280</v>
      </c>
      <c r="F104" t="inlineStr">
        <is>
          <t>VÄSTRA GÖTALANDS LÄN</t>
        </is>
      </c>
      <c r="G104" t="inlineStr">
        <is>
          <t>LERUM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46280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45392</v>
      </c>
      <c r="E106" s="1" t="n">
        <v>46280</v>
      </c>
      <c r="F106" t="inlineStr">
        <is>
          <t>VÄSTRA GÖTALANDS LÄN</t>
        </is>
      </c>
      <c r="G106" t="inlineStr">
        <is>
          <t>LERUM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44959</v>
      </c>
      <c r="E107" s="1" t="n">
        <v>46280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45565</v>
      </c>
      <c r="E108" s="1" t="n">
        <v>46280</v>
      </c>
      <c r="F108" t="inlineStr">
        <is>
          <t>VÄSTRA GÖTALANDS LÄN</t>
        </is>
      </c>
      <c r="G108" t="inlineStr">
        <is>
          <t>LERUM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45476</v>
      </c>
      <c r="E109" s="1" t="n">
        <v>46280</v>
      </c>
      <c r="F109" t="inlineStr">
        <is>
          <t>VÄSTRA GÖTALANDS LÄN</t>
        </is>
      </c>
      <c r="G109" t="inlineStr">
        <is>
          <t>LERUM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45476</v>
      </c>
      <c r="E110" s="1" t="n">
        <v>46280</v>
      </c>
      <c r="F110" t="inlineStr">
        <is>
          <t>VÄSTRA GÖTALANDS LÄN</t>
        </is>
      </c>
      <c r="G110" t="inlineStr">
        <is>
          <t>LERUM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46280</v>
      </c>
      <c r="F111" t="inlineStr">
        <is>
          <t>VÄSTRA GÖTALANDS LÄN</t>
        </is>
      </c>
      <c r="G111" t="inlineStr">
        <is>
          <t>LERUM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46280</v>
      </c>
      <c r="F112" t="inlineStr">
        <is>
          <t>VÄSTRA GÖTALANDS LÄN</t>
        </is>
      </c>
      <c r="G112" t="inlineStr">
        <is>
          <t>LERUM</t>
        </is>
      </c>
      <c r="H112" t="inlineStr">
        <is>
          <t>Kyrkan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46280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28157-2022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46280</v>
      </c>
      <c r="F114" t="inlineStr">
        <is>
          <t>VÄSTRA GÖTALANDS LÄN</t>
        </is>
      </c>
      <c r="G114" t="inlineStr">
        <is>
          <t>LERUM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44710</v>
      </c>
      <c r="E115" s="1" t="n">
        <v>46280</v>
      </c>
      <c r="F115" t="inlineStr">
        <is>
          <t>VÄSTRA GÖTALANDS LÄN</t>
        </is>
      </c>
      <c r="G115" t="inlineStr">
        <is>
          <t>LERUM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46280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46280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2026-09-15T08:16:29Z</dcterms:created>
  <dcterms:modified xmlns:dcterms="http://purl.org/dc/terms/" xmlns:xsi="http://www.w3.org/2001/XMLSchema-instance" xsi:type="dcterms:W3CDTF">2026-09-15T08:16:29Z</dcterms:modified>
</cp:coreProperties>
</file>