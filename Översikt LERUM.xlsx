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46288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46288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44746</v>
      </c>
      <c r="E4" s="1" t="n">
        <v>46288</v>
      </c>
      <c r="F4" t="inlineStr">
        <is>
          <t>VÄSTRA GÖTALANDS LÄN</t>
        </is>
      </c>
      <c r="G4" t="inlineStr">
        <is>
          <t>LERUM</t>
        </is>
      </c>
      <c r="H4" t="inlineStr">
        <is>
          <t>Kommuner</t>
        </is>
      </c>
      <c r="I4" t="n">
        <v>1.7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Ask
Björksplintborre
Vanlig groda
Revlummer</t>
        </is>
      </c>
      <c r="W4">
        <f>HYPERLINK("https://klasma.github.io/Logging_1441/artfynd/A 28233-2022 artfynd.xlsx", "A 28233-2022")</f>
        <v/>
      </c>
      <c r="X4">
        <f>HYPERLINK("https://klasma.github.io/Logging_1441/kartor/A 28233-2022 karta.png", "A 28233-2022")</f>
        <v/>
      </c>
      <c r="Y4">
        <f>HYPERLINK("https://klasma.github.io/Logging_1441/kartor_geotiff/A 28233-2022 georefererad karta.tif", "A 28233-2022")</f>
        <v/>
      </c>
      <c r="AA4">
        <f>HYPERLINK("https://klasma.github.io/Logging_1441/klagomål/A 28233-2022 FSC-klagomål.docx", "A 28233-2022")</f>
        <v/>
      </c>
      <c r="AB4">
        <f>HYPERLINK("https://klasma.github.io/Logging_1441/klagomålsmail/A 28233-2022 FSC-klagomål mail.docx", "A 28233-2022")</f>
        <v/>
      </c>
      <c r="AC4">
        <f>HYPERLINK("https://klasma.github.io/Logging_1441/tillsyn/A 28233-2022 tillsynsbegäran.docx", "A 28233-2022")</f>
        <v/>
      </c>
      <c r="AD4">
        <f>HYPERLINK("https://klasma.github.io/Logging_1441/tillsynsmail/A 28233-2022 tillsynsbegäran mail.docx", "A 28233-2022")</f>
        <v/>
      </c>
    </row>
    <row r="5" ht="15" customHeight="1">
      <c r="A5" t="inlineStr">
        <is>
          <t>A 2443-2023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44943</v>
      </c>
      <c r="E5" s="1" t="n">
        <v>46288</v>
      </c>
      <c r="F5" t="inlineStr">
        <is>
          <t>VÄSTRA GÖTALANDS LÄN</t>
        </is>
      </c>
      <c r="G5" t="inlineStr">
        <is>
          <t>LERUM</t>
        </is>
      </c>
      <c r="I5" t="n">
        <v>3.3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5</v>
      </c>
      <c r="U5" t="n">
        <v>5</v>
      </c>
      <c r="V5" s="2" t="inlineStr">
        <is>
          <t>Björksplintborre
Större brunfladdermus
Vanlig padda
Vanlig snok</t>
        </is>
      </c>
      <c r="W5">
        <f>HYPERLINK("https://klasma.github.io/Logging_1441/artfynd/A 2443-2023 artfynd.xlsx", "A 2443-2023")</f>
        <v/>
      </c>
      <c r="X5">
        <f>HYPERLINK("https://klasma.github.io/Logging_1441/kartor/A 2443-2023 karta.png", "A 2443-2023")</f>
        <v/>
      </c>
      <c r="Y5">
        <f>HYPERLINK("https://klasma.github.io/Logging_1441/kartor_geotiff/A 2443-2023 georefererad karta.tif", "A 2443-2023")</f>
        <v/>
      </c>
      <c r="AA5">
        <f>HYPERLINK("https://klasma.github.io/Logging_1441/klagomål/A 2443-2023 FSC-klagomål.docx", "A 2443-2023")</f>
        <v/>
      </c>
      <c r="AB5">
        <f>HYPERLINK("https://klasma.github.io/Logging_1441/klagomålsmail/A 2443-2023 FSC-klagomål mail.docx", "A 2443-2023")</f>
        <v/>
      </c>
      <c r="AC5">
        <f>HYPERLINK("https://klasma.github.io/Logging_1441/tillsyn/A 2443-2023 tillsynsbegäran.docx", "A 2443-2023")</f>
        <v/>
      </c>
      <c r="AD5">
        <f>HYPERLINK("https://klasma.github.io/Logging_1441/tillsynsmail/A 2443-2023 tillsynsbegäran mail.docx", "A 2443-2023")</f>
        <v/>
      </c>
    </row>
    <row r="6" ht="15" customHeight="1">
      <c r="A6" t="inlineStr">
        <is>
          <t>A 3543-2024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45320</v>
      </c>
      <c r="E6" s="1" t="n">
        <v>46288</v>
      </c>
      <c r="F6" t="inlineStr">
        <is>
          <t>VÄSTRA GÖTALANDS LÄN</t>
        </is>
      </c>
      <c r="G6" t="inlineStr">
        <is>
          <t>LERUM</t>
        </is>
      </c>
      <c r="I6" t="n">
        <v>3.9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Grönhjon
Dolkstekelsglasvinge
Spillkråka
Huggorm</t>
        </is>
      </c>
      <c r="W6">
        <f>HYPERLINK("https://klasma.github.io/Logging_1441/artfynd/A 3543-2024 artfynd.xlsx", "A 3543-2024")</f>
        <v/>
      </c>
      <c r="X6">
        <f>HYPERLINK("https://klasma.github.io/Logging_1441/kartor/A 3543-2024 karta.png", "A 3543-2024")</f>
        <v/>
      </c>
      <c r="Y6">
        <f>HYPERLINK("https://klasma.github.io/Logging_1441/kartor_geotiff/A 3543-2024 georefererad karta.tif", "A 3543-2024")</f>
        <v/>
      </c>
      <c r="AA6">
        <f>HYPERLINK("https://klasma.github.io/Logging_1441/klagomål/A 3543-2024 FSC-klagomål.docx", "A 3543-2024")</f>
        <v/>
      </c>
      <c r="AB6">
        <f>HYPERLINK("https://klasma.github.io/Logging_1441/klagomålsmail/A 3543-2024 FSC-klagomål mail.docx", "A 3543-2024")</f>
        <v/>
      </c>
      <c r="AC6">
        <f>HYPERLINK("https://klasma.github.io/Logging_1441/tillsyn/A 3543-2024 tillsynsbegäran.docx", "A 3543-2024")</f>
        <v/>
      </c>
      <c r="AD6">
        <f>HYPERLINK("https://klasma.github.io/Logging_1441/tillsynsmail/A 3543-2024 tillsynsbegäran mail.docx", "A 3543-2024")</f>
        <v/>
      </c>
      <c r="AE6">
        <f>HYPERLINK("https://klasma.github.io/Logging_1441/fåglar/A 3543-2024 prioriterade fågelarter.docx", "A 3543-2024")</f>
        <v/>
      </c>
    </row>
    <row r="7" ht="15" customHeight="1">
      <c r="A7" t="inlineStr">
        <is>
          <t>A 22268-2022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44712</v>
      </c>
      <c r="E7" s="1" t="n">
        <v>46288</v>
      </c>
      <c r="F7" t="inlineStr">
        <is>
          <t>VÄSTRA GÖTALANDS LÄN</t>
        </is>
      </c>
      <c r="G7" t="inlineStr">
        <is>
          <t>LERUM</t>
        </is>
      </c>
      <c r="I7" t="n">
        <v>16.6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Havstulpanlav
Stubbspretmossa
Mattlummer</t>
        </is>
      </c>
      <c r="W7">
        <f>HYPERLINK("https://klasma.github.io/Logging_1441/artfynd/A 22268-2022 artfynd.xlsx", "A 22268-2022")</f>
        <v/>
      </c>
      <c r="X7">
        <f>HYPERLINK("https://klasma.github.io/Logging_1441/kartor/A 22268-2022 karta.png", "A 22268-2022")</f>
        <v/>
      </c>
      <c r="Y7">
        <f>HYPERLINK("https://klasma.github.io/Logging_1441/kartor_geotiff/A 22268-2022 georefererad karta.tif", "A 22268-2022")</f>
        <v/>
      </c>
      <c r="AA7">
        <f>HYPERLINK("https://klasma.github.io/Logging_1441/klagomål/A 22268-2022 FSC-klagomål.docx", "A 22268-2022")</f>
        <v/>
      </c>
      <c r="AB7">
        <f>HYPERLINK("https://klasma.github.io/Logging_1441/klagomålsmail/A 22268-2022 FSC-klagomål mail.docx", "A 22268-2022")</f>
        <v/>
      </c>
      <c r="AC7">
        <f>HYPERLINK("https://klasma.github.io/Logging_1441/tillsyn/A 22268-2022 tillsynsbegäran.docx", "A 22268-2022")</f>
        <v/>
      </c>
      <c r="AD7">
        <f>HYPERLINK("https://klasma.github.io/Logging_1441/tillsynsmail/A 22268-2022 tillsynsbegäran mail.docx", "A 22268-2022")</f>
        <v/>
      </c>
    </row>
    <row r="8" ht="15" customHeight="1">
      <c r="A8" t="inlineStr">
        <is>
          <t>A 55111-2025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45968</v>
      </c>
      <c r="E8" s="1" t="n">
        <v>46288</v>
      </c>
      <c r="F8" t="inlineStr">
        <is>
          <t>VÄSTRA GÖTALANDS LÄN</t>
        </is>
      </c>
      <c r="G8" t="inlineStr">
        <is>
          <t>LERUM</t>
        </is>
      </c>
      <c r="I8" t="n">
        <v>2.1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Stor revmossa
Västlig hakmossa</t>
        </is>
      </c>
      <c r="W8">
        <f>HYPERLINK("https://klasma.github.io/Logging_1441/artfynd/A 55111-2025 artfynd.xlsx", "A 55111-2025")</f>
        <v/>
      </c>
      <c r="X8">
        <f>HYPERLINK("https://klasma.github.io/Logging_1441/kartor/A 55111-2025 karta.png", "A 55111-2025")</f>
        <v/>
      </c>
      <c r="Y8">
        <f>HYPERLINK("https://klasma.github.io/Logging_1441/kartor_geotiff/A 55111-2025 georefererad karta.tif", "A 55111-2025")</f>
        <v/>
      </c>
      <c r="AA8">
        <f>HYPERLINK("https://klasma.github.io/Logging_1441/klagomål/A 55111-2025 FSC-klagomål.docx", "A 55111-2025")</f>
        <v/>
      </c>
      <c r="AB8">
        <f>HYPERLINK("https://klasma.github.io/Logging_1441/klagomålsmail/A 55111-2025 FSC-klagomål mail.docx", "A 55111-2025")</f>
        <v/>
      </c>
      <c r="AC8">
        <f>HYPERLINK("https://klasma.github.io/Logging_1441/tillsyn/A 55111-2025 tillsynsbegäran.docx", "A 55111-2025")</f>
        <v/>
      </c>
      <c r="AD8">
        <f>HYPERLINK("https://klasma.github.io/Logging_1441/tillsynsmail/A 55111-2025 tillsynsbegäran mail.docx", "A 55111-2025")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46288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58073-2025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45982</v>
      </c>
      <c r="E10" s="1" t="n">
        <v>46288</v>
      </c>
      <c r="F10" t="inlineStr">
        <is>
          <t>VÄSTRA GÖTALANDS LÄN</t>
        </is>
      </c>
      <c r="G10" t="inlineStr">
        <is>
          <t>LERUM</t>
        </is>
      </c>
      <c r="I10" t="n">
        <v>1.6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Igelkott
Kambräken</t>
        </is>
      </c>
      <c r="W10">
        <f>HYPERLINK("https://klasma.github.io/Logging_1441/artfynd/A 58073-2025 artfynd.xlsx", "A 58073-2025")</f>
        <v/>
      </c>
      <c r="X10">
        <f>HYPERLINK("https://klasma.github.io/Logging_1441/kartor/A 58073-2025 karta.png", "A 58073-2025")</f>
        <v/>
      </c>
      <c r="Y10">
        <f>HYPERLINK("https://klasma.github.io/Logging_1441/kartor_geotiff/A 58073-2025 georefererad karta.tif", "A 58073-2025")</f>
        <v/>
      </c>
      <c r="AA10">
        <f>HYPERLINK("https://klasma.github.io/Logging_1441/klagomål/A 58073-2025 FSC-klagomål.docx", "A 58073-2025")</f>
        <v/>
      </c>
      <c r="AB10">
        <f>HYPERLINK("https://klasma.github.io/Logging_1441/klagomålsmail/A 58073-2025 FSC-klagomål mail.docx", "A 58073-2025")</f>
        <v/>
      </c>
      <c r="AC10">
        <f>HYPERLINK("https://klasma.github.io/Logging_1441/tillsyn/A 58073-2025 tillsynsbegäran.docx", "A 58073-2025")</f>
        <v/>
      </c>
      <c r="AD10">
        <f>HYPERLINK("https://klasma.github.io/Logging_1441/tillsynsmail/A 58073-2025 tillsynsbegäran mail.docx", "A 58073-2025")</f>
        <v/>
      </c>
    </row>
    <row r="11" ht="15" customHeight="1">
      <c r="A11" t="inlineStr">
        <is>
          <t>A 2447-2023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44943</v>
      </c>
      <c r="E11" s="1" t="n">
        <v>46288</v>
      </c>
      <c r="F11" t="inlineStr">
        <is>
          <t>VÄSTRA GÖTALANDS LÄN</t>
        </is>
      </c>
      <c r="G11" t="inlineStr">
        <is>
          <t>LERUM</t>
        </is>
      </c>
      <c r="I11" t="n">
        <v>3.6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Dolkstekelsglasvinge
Vanlig groda</t>
        </is>
      </c>
      <c r="W11">
        <f>HYPERLINK("https://klasma.github.io/Logging_1441/artfynd/A 2447-2023 artfynd.xlsx", "A 2447-2023")</f>
        <v/>
      </c>
      <c r="X11">
        <f>HYPERLINK("https://klasma.github.io/Logging_1441/kartor/A 2447-2023 karta.png", "A 2447-2023")</f>
        <v/>
      </c>
      <c r="Y11">
        <f>HYPERLINK("https://klasma.github.io/Logging_1441/kartor_geotiff/A 2447-2023 georefererad karta.tif", "A 2447-2023")</f>
        <v/>
      </c>
      <c r="AA11">
        <f>HYPERLINK("https://klasma.github.io/Logging_1441/klagomål/A 2447-2023 FSC-klagomål.docx", "A 2447-2023")</f>
        <v/>
      </c>
      <c r="AB11">
        <f>HYPERLINK("https://klasma.github.io/Logging_1441/klagomålsmail/A 2447-2023 FSC-klagomål mail.docx", "A 2447-2023")</f>
        <v/>
      </c>
      <c r="AC11">
        <f>HYPERLINK("https://klasma.github.io/Logging_1441/tillsyn/A 2447-2023 tillsynsbegäran.docx", "A 2447-2023")</f>
        <v/>
      </c>
      <c r="AD11">
        <f>HYPERLINK("https://klasma.github.io/Logging_1441/tillsynsmail/A 2447-2023 tillsynsbegäran mail.docx", "A 2447-2023")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46288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46288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10410-2022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44623</v>
      </c>
      <c r="E14" s="1" t="n">
        <v>46288</v>
      </c>
      <c r="F14" t="inlineStr">
        <is>
          <t>VÄSTRA GÖTALANDS LÄN</t>
        </is>
      </c>
      <c r="G14" t="inlineStr">
        <is>
          <t>LERUM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HYPERLINK("https://klasma.github.io/Logging_1441/artfynd/A 10410-2022 artfynd.xlsx", "A 10410-2022")</f>
        <v/>
      </c>
      <c r="X14">
        <f>HYPERLINK("https://klasma.github.io/Logging_1441/kartor/A 10410-2022 karta.png", "A 10410-2022")</f>
        <v/>
      </c>
      <c r="Y14">
        <f>HYPERLINK("https://klasma.github.io/Logging_1441/kartor_geotiff/A 10410-2022 georefererad karta.tif", "A 10410-2022")</f>
        <v/>
      </c>
      <c r="AA14">
        <f>HYPERLINK("https://klasma.github.io/Logging_1441/klagomål/A 10410-2022 FSC-klagomål.docx", "A 10410-2022")</f>
        <v/>
      </c>
      <c r="AB14">
        <f>HYPERLINK("https://klasma.github.io/Logging_1441/klagomålsmail/A 10410-2022 FSC-klagomål mail.docx", "A 10410-2022")</f>
        <v/>
      </c>
      <c r="AC14">
        <f>HYPERLINK("https://klasma.github.io/Logging_1441/tillsyn/A 10410-2022 tillsynsbegäran.docx", "A 10410-2022")</f>
        <v/>
      </c>
      <c r="AD14">
        <f>HYPERLINK("https://klasma.github.io/Logging_1441/tillsynsmail/A 10410-2022 tillsynsbegäran mail.docx", "A 10410-2022")</f>
        <v/>
      </c>
    </row>
    <row r="15" ht="15" customHeight="1">
      <c r="A15" t="inlineStr">
        <is>
          <t>A 57154-2022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44895</v>
      </c>
      <c r="E15" s="1" t="n">
        <v>46288</v>
      </c>
      <c r="F15" t="inlineStr">
        <is>
          <t>VÄSTRA GÖTALANDS LÄN</t>
        </is>
      </c>
      <c r="G15" t="inlineStr">
        <is>
          <t>LERUM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HYPERLINK("https://klasma.github.io/Logging_1441/artfynd/A 57154-2022 artfynd.xlsx", "A 57154-2022")</f>
        <v/>
      </c>
      <c r="X15">
        <f>HYPERLINK("https://klasma.github.io/Logging_1441/kartor/A 57154-2022 karta.png", "A 57154-2022")</f>
        <v/>
      </c>
      <c r="Y15">
        <f>HYPERLINK("https://klasma.github.io/Logging_1441/kartor_geotiff/A 57154-2022 georefererad karta.tif", "A 57154-2022")</f>
        <v/>
      </c>
      <c r="AA15">
        <f>HYPERLINK("https://klasma.github.io/Logging_1441/klagomål/A 57154-2022 FSC-klagomål.docx", "A 57154-2022")</f>
        <v/>
      </c>
      <c r="AB15">
        <f>HYPERLINK("https://klasma.github.io/Logging_1441/klagomålsmail/A 57154-2022 FSC-klagomål mail.docx", "A 57154-2022")</f>
        <v/>
      </c>
      <c r="AC15">
        <f>HYPERLINK("https://klasma.github.io/Logging_1441/tillsyn/A 57154-2022 tillsynsbegäran.docx", "A 57154-2022")</f>
        <v/>
      </c>
      <c r="AD15">
        <f>HYPERLINK("https://klasma.github.io/Logging_1441/tillsynsmail/A 57154-2022 tillsynsbegäran mail.docx", "A 57154-2022")</f>
        <v/>
      </c>
    </row>
    <row r="16" ht="15" customHeight="1">
      <c r="A16" t="inlineStr">
        <is>
          <t>A 2438-2023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44943</v>
      </c>
      <c r="E16" s="1" t="n">
        <v>46288</v>
      </c>
      <c r="F16" t="inlineStr">
        <is>
          <t>VÄSTRA GÖTALANDS LÄN</t>
        </is>
      </c>
      <c r="G16" t="inlineStr">
        <is>
          <t>LERUM</t>
        </is>
      </c>
      <c r="I16" t="n">
        <v>2.6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3</v>
      </c>
      <c r="U16" t="n">
        <v>3</v>
      </c>
      <c r="V16" s="2" t="inlineStr">
        <is>
          <t>Björksplintborre</t>
        </is>
      </c>
      <c r="W16">
        <f>HYPERLINK("https://klasma.github.io/Logging_1441/artfynd/A 2438-2023 artfynd.xlsx", "A 2438-2023")</f>
        <v/>
      </c>
      <c r="X16">
        <f>HYPERLINK("https://klasma.github.io/Logging_1441/kartor/A 2438-2023 karta.png", "A 2438-2023")</f>
        <v/>
      </c>
      <c r="Y16">
        <f>HYPERLINK("https://klasma.github.io/Logging_1441/kartor_geotiff/A 2438-2023 georefererad karta.tif", "A 2438-2023")</f>
        <v/>
      </c>
      <c r="AA16">
        <f>HYPERLINK("https://klasma.github.io/Logging_1441/klagomål/A 2438-2023 FSC-klagomål.docx", "A 2438-2023")</f>
        <v/>
      </c>
      <c r="AB16">
        <f>HYPERLINK("https://klasma.github.io/Logging_1441/klagomålsmail/A 2438-2023 FSC-klagomål mail.docx", "A 2438-2023")</f>
        <v/>
      </c>
      <c r="AC16">
        <f>HYPERLINK("https://klasma.github.io/Logging_1441/tillsyn/A 2438-2023 tillsynsbegäran.docx", "A 2438-2023")</f>
        <v/>
      </c>
      <c r="AD16">
        <f>HYPERLINK("https://klasma.github.io/Logging_1441/tillsynsmail/A 2438-2023 tillsynsbegäran mail.docx", "A 2438-2023")</f>
        <v/>
      </c>
    </row>
    <row r="17" ht="15" customHeight="1">
      <c r="A17" t="inlineStr">
        <is>
          <t>A 51900-2021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44462</v>
      </c>
      <c r="E17" s="1" t="n">
        <v>46288</v>
      </c>
      <c r="F17" t="inlineStr">
        <is>
          <t>VÄSTRA GÖTALANDS LÄN</t>
        </is>
      </c>
      <c r="G17" t="inlineStr">
        <is>
          <t>LERUM</t>
        </is>
      </c>
      <c r="I17" t="n">
        <v>3.1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Revlummer</t>
        </is>
      </c>
      <c r="W17">
        <f>HYPERLINK("https://klasma.github.io/Logging_1441/artfynd/A 51900-2021 artfynd.xlsx", "A 51900-2021")</f>
        <v/>
      </c>
      <c r="X17">
        <f>HYPERLINK("https://klasma.github.io/Logging_1441/kartor/A 51900-2021 karta.png", "A 51900-2021")</f>
        <v/>
      </c>
      <c r="Y17">
        <f>HYPERLINK("https://klasma.github.io/Logging_1441/kartor_geotiff/A 51900-2021 georefererad karta.tif", "A 51900-2021")</f>
        <v/>
      </c>
      <c r="AA17">
        <f>HYPERLINK("https://klasma.github.io/Logging_1441/klagomål/A 51900-2021 FSC-klagomål.docx", "A 51900-2021")</f>
        <v/>
      </c>
      <c r="AB17">
        <f>HYPERLINK("https://klasma.github.io/Logging_1441/klagomålsmail/A 51900-2021 FSC-klagomål mail.docx", "A 51900-2021")</f>
        <v/>
      </c>
      <c r="AC17">
        <f>HYPERLINK("https://klasma.github.io/Logging_1441/tillsyn/A 51900-2021 tillsynsbegäran.docx", "A 51900-2021")</f>
        <v/>
      </c>
      <c r="AD17">
        <f>HYPERLINK("https://klasma.github.io/Logging_1441/tillsynsmail/A 51900-2021 tillsynsbegäran mail.docx", "A 51900-2021")</f>
        <v/>
      </c>
    </row>
    <row r="18" ht="15" customHeight="1">
      <c r="A18" t="inlineStr">
        <is>
          <t>A 20570-2023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45057</v>
      </c>
      <c r="E18" s="1" t="n">
        <v>46288</v>
      </c>
      <c r="F18" t="inlineStr">
        <is>
          <t>VÄSTRA GÖTALANDS LÄN</t>
        </is>
      </c>
      <c r="G18" t="inlineStr">
        <is>
          <t>LERUM</t>
        </is>
      </c>
      <c r="I18" t="n">
        <v>5.6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Vedticka</t>
        </is>
      </c>
      <c r="W18">
        <f>HYPERLINK("https://klasma.github.io/Logging_1441/artfynd/A 20570-2023 artfynd.xlsx", "A 20570-2023")</f>
        <v/>
      </c>
      <c r="X18">
        <f>HYPERLINK("https://klasma.github.io/Logging_1441/kartor/A 20570-2023 karta.png", "A 20570-2023")</f>
        <v/>
      </c>
      <c r="Y18">
        <f>HYPERLINK("https://klasma.github.io/Logging_1441/kartor_geotiff/A 20570-2023 georefererad karta.tif", "A 20570-2023")</f>
        <v/>
      </c>
      <c r="AA18">
        <f>HYPERLINK("https://klasma.github.io/Logging_1441/klagomål/A 20570-2023 FSC-klagomål.docx", "A 20570-2023")</f>
        <v/>
      </c>
      <c r="AB18">
        <f>HYPERLINK("https://klasma.github.io/Logging_1441/klagomålsmail/A 20570-2023 FSC-klagomål mail.docx", "A 20570-2023")</f>
        <v/>
      </c>
      <c r="AC18">
        <f>HYPERLINK("https://klasma.github.io/Logging_1441/tillsyn/A 20570-2023 tillsynsbegäran.docx", "A 20570-2023")</f>
        <v/>
      </c>
      <c r="AD18">
        <f>HYPERLINK("https://klasma.github.io/Logging_1441/tillsynsmail/A 20570-2023 tillsynsbegäran mail.docx", "A 20570-2023")</f>
        <v/>
      </c>
    </row>
    <row r="19" ht="15" customHeight="1">
      <c r="A19" t="inlineStr">
        <is>
          <t>A 62755-2025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46008</v>
      </c>
      <c r="E19" s="1" t="n">
        <v>46288</v>
      </c>
      <c r="F19" t="inlineStr">
        <is>
          <t>VÄSTRA GÖTALANDS LÄN</t>
        </is>
      </c>
      <c r="G19" t="inlineStr">
        <is>
          <t>LERUM</t>
        </is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Grönvit nattviol</t>
        </is>
      </c>
      <c r="W19">
        <f>HYPERLINK("https://klasma.github.io/Logging_1441/artfynd/A 62755-2025 artfynd.xlsx", "A 62755-2025")</f>
        <v/>
      </c>
      <c r="X19">
        <f>HYPERLINK("https://klasma.github.io/Logging_1441/kartor/A 62755-2025 karta.png", "A 62755-2025")</f>
        <v/>
      </c>
      <c r="Y19">
        <f>HYPERLINK("https://klasma.github.io/Logging_1441/kartor_geotiff/A 62755-2025 georefererad karta.tif", "A 62755-2025")</f>
        <v/>
      </c>
      <c r="AA19">
        <f>HYPERLINK("https://klasma.github.io/Logging_1441/klagomål/A 62755-2025 FSC-klagomål.docx", "A 62755-2025")</f>
        <v/>
      </c>
      <c r="AB19">
        <f>HYPERLINK("https://klasma.github.io/Logging_1441/klagomålsmail/A 62755-2025 FSC-klagomål mail.docx", "A 62755-2025")</f>
        <v/>
      </c>
      <c r="AC19">
        <f>HYPERLINK("https://klasma.github.io/Logging_1441/tillsyn/A 62755-2025 tillsynsbegäran.docx", "A 62755-2025")</f>
        <v/>
      </c>
      <c r="AD19">
        <f>HYPERLINK("https://klasma.github.io/Logging_1441/tillsynsmail/A 62755-2025 tillsynsbegäran mail.docx", "A 62755-2025")</f>
        <v/>
      </c>
    </row>
    <row r="20" ht="15" customHeight="1">
      <c r="A20" t="inlineStr">
        <is>
          <t>A 26568-2023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45092</v>
      </c>
      <c r="E20" s="1" t="n">
        <v>46288</v>
      </c>
      <c r="F20" t="inlineStr">
        <is>
          <t>VÄSTRA GÖTALANDS LÄN</t>
        </is>
      </c>
      <c r="G20" t="inlineStr">
        <is>
          <t>LERUM</t>
        </is>
      </c>
      <c r="I20" t="n">
        <v>2.7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Svart jordtunga</t>
        </is>
      </c>
      <c r="W20">
        <f>HYPERLINK("https://klasma.github.io/Logging_1441/artfynd/A 26568-2023 artfynd.xlsx", "A 26568-2023")</f>
        <v/>
      </c>
      <c r="X20">
        <f>HYPERLINK("https://klasma.github.io/Logging_1441/kartor/A 26568-2023 karta.png", "A 26568-2023")</f>
        <v/>
      </c>
      <c r="Y20">
        <f>HYPERLINK("https://klasma.github.io/Logging_1441/kartor_geotiff/A 26568-2023 georefererad karta.tif", "A 26568-2023")</f>
        <v/>
      </c>
      <c r="AA20">
        <f>HYPERLINK("https://klasma.github.io/Logging_1441/klagomål/A 26568-2023 FSC-klagomål.docx", "A 26568-2023")</f>
        <v/>
      </c>
      <c r="AB20">
        <f>HYPERLINK("https://klasma.github.io/Logging_1441/klagomålsmail/A 26568-2023 FSC-klagomål mail.docx", "A 26568-2023")</f>
        <v/>
      </c>
      <c r="AC20">
        <f>HYPERLINK("https://klasma.github.io/Logging_1441/tillsyn/A 26568-2023 tillsynsbegäran.docx", "A 26568-2023")</f>
        <v/>
      </c>
      <c r="AD20">
        <f>HYPERLINK("https://klasma.github.io/Logging_1441/tillsynsmail/A 26568-2023 tillsynsbegäran mail.docx", "A 26568-2023")</f>
        <v/>
      </c>
    </row>
    <row r="21" ht="15" customHeight="1">
      <c r="A21" t="inlineStr">
        <is>
          <t>A 64855-2023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45282</v>
      </c>
      <c r="E21" s="1" t="n">
        <v>46288</v>
      </c>
      <c r="F21" t="inlineStr">
        <is>
          <t>VÄSTRA GÖTALANDS LÄN</t>
        </is>
      </c>
      <c r="G21" t="inlineStr">
        <is>
          <t>LERUM</t>
        </is>
      </c>
      <c r="I21" t="n">
        <v>3.7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Havsörn</t>
        </is>
      </c>
      <c r="W21">
        <f>HYPERLINK("https://klasma.github.io/Logging_1441/artfynd/A 64855-2023 artfynd.xlsx", "A 64855-2023")</f>
        <v/>
      </c>
      <c r="X21">
        <f>HYPERLINK("https://klasma.github.io/Logging_1441/kartor/A 64855-2023 karta.png", "A 64855-2023")</f>
        <v/>
      </c>
      <c r="Y21">
        <f>HYPERLINK("https://klasma.github.io/Logging_1441/kartor_geotiff/A 64855-2023 georefererad karta.tif", "A 64855-2023")</f>
        <v/>
      </c>
      <c r="AA21">
        <f>HYPERLINK("https://klasma.github.io/Logging_1441/klagomål/A 64855-2023 FSC-klagomål.docx", "A 64855-2023")</f>
        <v/>
      </c>
      <c r="AB21">
        <f>HYPERLINK("https://klasma.github.io/Logging_1441/klagomålsmail/A 64855-2023 FSC-klagomål mail.docx", "A 64855-2023")</f>
        <v/>
      </c>
      <c r="AC21">
        <f>HYPERLINK("https://klasma.github.io/Logging_1441/tillsyn/A 64855-2023 tillsynsbegäran.docx", "A 64855-2023")</f>
        <v/>
      </c>
      <c r="AD21">
        <f>HYPERLINK("https://klasma.github.io/Logging_1441/tillsynsmail/A 64855-2023 tillsynsbegäran mail.docx", "A 64855-2023")</f>
        <v/>
      </c>
      <c r="AE21">
        <f>HYPERLINK("https://klasma.github.io/Logging_1441/fåglar/A 64855-2023 prioriterade fågelarter.docx", "A 64855-2023")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46288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46288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46288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46288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46288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46288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46288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46288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46288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46288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46288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46288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46288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46288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50622-2023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45217</v>
      </c>
      <c r="E36" s="1" t="n">
        <v>46288</v>
      </c>
      <c r="F36" t="inlineStr">
        <is>
          <t>VÄSTRA GÖTALANDS LÄN</t>
        </is>
      </c>
      <c r="G36" t="inlineStr">
        <is>
          <t>LERUM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39113-2024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45548</v>
      </c>
      <c r="E37" s="1" t="n">
        <v>46288</v>
      </c>
      <c r="F37" t="inlineStr">
        <is>
          <t>VÄSTRA GÖTALANDS LÄN</t>
        </is>
      </c>
      <c r="G37" t="inlineStr">
        <is>
          <t>LERUM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13156-2024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45386</v>
      </c>
      <c r="E38" s="1" t="n">
        <v>46288</v>
      </c>
      <c r="F38" t="inlineStr">
        <is>
          <t>VÄSTRA GÖTALANDS LÄN</t>
        </is>
      </c>
      <c r="G38" t="inlineStr">
        <is>
          <t>LERUM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35199-2023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45145</v>
      </c>
      <c r="E39" s="1" t="n">
        <v>46288</v>
      </c>
      <c r="F39" t="inlineStr">
        <is>
          <t>VÄSTRA GÖTALANDS LÄN</t>
        </is>
      </c>
      <c r="G39" t="inlineStr">
        <is>
          <t>LERUM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20210-2023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45055</v>
      </c>
      <c r="E40" s="1" t="n">
        <v>46288</v>
      </c>
      <c r="F40" t="inlineStr">
        <is>
          <t>VÄSTRA GÖTALANDS LÄN</t>
        </is>
      </c>
      <c r="G40" t="inlineStr">
        <is>
          <t>LERUM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28089-2022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44746</v>
      </c>
      <c r="E41" s="1" t="n">
        <v>46288</v>
      </c>
      <c r="F41" t="inlineStr">
        <is>
          <t>VÄSTRA GÖTALANDS LÄN</t>
        </is>
      </c>
      <c r="G41" t="inlineStr">
        <is>
          <t>LERUM</t>
        </is>
      </c>
      <c r="I41" t="n">
        <v>7.4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37441-2022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44809</v>
      </c>
      <c r="E42" s="1" t="n">
        <v>46288</v>
      </c>
      <c r="F42" t="inlineStr">
        <is>
          <t>VÄSTRA GÖTALANDS LÄN</t>
        </is>
      </c>
      <c r="G42" t="inlineStr">
        <is>
          <t>LERUM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50397-2023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45216</v>
      </c>
      <c r="E43" s="1" t="n">
        <v>46288</v>
      </c>
      <c r="F43" t="inlineStr">
        <is>
          <t>VÄSTRA GÖTALANDS LÄN</t>
        </is>
      </c>
      <c r="G43" t="inlineStr">
        <is>
          <t>LERUM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28103-2022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44746</v>
      </c>
      <c r="E44" s="1" t="n">
        <v>46288</v>
      </c>
      <c r="F44" t="inlineStr">
        <is>
          <t>VÄSTRA GÖTALANDS LÄN</t>
        </is>
      </c>
      <c r="G44" t="inlineStr">
        <is>
          <t>LERUM</t>
        </is>
      </c>
      <c r="I44" t="n">
        <v>6.6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7989-2024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45350</v>
      </c>
      <c r="E45" s="1" t="n">
        <v>46288</v>
      </c>
      <c r="F45" t="inlineStr">
        <is>
          <t>VÄSTRA GÖTALANDS LÄN</t>
        </is>
      </c>
      <c r="G45" t="inlineStr">
        <is>
          <t>LERUM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38739-2025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45887</v>
      </c>
      <c r="E46" s="1" t="n">
        <v>46288</v>
      </c>
      <c r="F46" t="inlineStr">
        <is>
          <t>VÄSTRA GÖTALANDS LÄN</t>
        </is>
      </c>
      <c r="G46" t="inlineStr">
        <is>
          <t>LERUM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47866-2024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45588</v>
      </c>
      <c r="E47" s="1" t="n">
        <v>46288</v>
      </c>
      <c r="F47" t="inlineStr">
        <is>
          <t>VÄSTRA GÖTALANDS LÄN</t>
        </is>
      </c>
      <c r="G47" t="inlineStr">
        <is>
          <t>LERUM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22300-2022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44712</v>
      </c>
      <c r="E48" s="1" t="n">
        <v>46288</v>
      </c>
      <c r="F48" t="inlineStr">
        <is>
          <t>VÄSTRA GÖTALANDS LÄN</t>
        </is>
      </c>
      <c r="G48" t="inlineStr">
        <is>
          <t>LERUM</t>
        </is>
      </c>
      <c r="I48" t="n">
        <v>23.3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40848-2025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45897</v>
      </c>
      <c r="E49" s="1" t="n">
        <v>46288</v>
      </c>
      <c r="F49" t="inlineStr">
        <is>
          <t>VÄSTRA GÖTALANDS LÄN</t>
        </is>
      </c>
      <c r="G49" t="inlineStr">
        <is>
          <t>LERUM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50405-2023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45216</v>
      </c>
      <c r="E50" s="1" t="n">
        <v>46288</v>
      </c>
      <c r="F50" t="inlineStr">
        <is>
          <t>VÄSTRA GÖTALANDS LÄN</t>
        </is>
      </c>
      <c r="G50" t="inlineStr">
        <is>
          <t>LERUM</t>
        </is>
      </c>
      <c r="I50" t="n">
        <v>5.2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50410-2023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45216</v>
      </c>
      <c r="E51" s="1" t="n">
        <v>46288</v>
      </c>
      <c r="F51" t="inlineStr">
        <is>
          <t>VÄSTRA GÖTALANDS LÄN</t>
        </is>
      </c>
      <c r="G51" t="inlineStr">
        <is>
          <t>LERUM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44780-2025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45917</v>
      </c>
      <c r="E52" s="1" t="n">
        <v>46288</v>
      </c>
      <c r="F52" t="inlineStr">
        <is>
          <t>VÄSTRA GÖTALANDS LÄN</t>
        </is>
      </c>
      <c r="G52" t="inlineStr">
        <is>
          <t>LERUM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28029-2025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45817</v>
      </c>
      <c r="E53" s="1" t="n">
        <v>46288</v>
      </c>
      <c r="F53" t="inlineStr">
        <is>
          <t>VÄSTRA GÖTALANDS LÄN</t>
        </is>
      </c>
      <c r="G53" t="inlineStr">
        <is>
          <t>LERUM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31687-2025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45834</v>
      </c>
      <c r="E54" s="1" t="n">
        <v>46288</v>
      </c>
      <c r="F54" t="inlineStr">
        <is>
          <t>VÄSTRA GÖTALANDS LÄN</t>
        </is>
      </c>
      <c r="G54" t="inlineStr">
        <is>
          <t>LERUM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38743-2025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45887</v>
      </c>
      <c r="E55" s="1" t="n">
        <v>46288</v>
      </c>
      <c r="F55" t="inlineStr">
        <is>
          <t>VÄSTRA GÖTALANDS LÄN</t>
        </is>
      </c>
      <c r="G55" t="inlineStr">
        <is>
          <t>LERUM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47944-2024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45589</v>
      </c>
      <c r="E56" s="1" t="n">
        <v>46288</v>
      </c>
      <c r="F56" t="inlineStr">
        <is>
          <t>VÄSTRA GÖTALANDS LÄN</t>
        </is>
      </c>
      <c r="G56" t="inlineStr">
        <is>
          <t>LERUM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45132-2025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45919</v>
      </c>
      <c r="E57" s="1" t="n">
        <v>46288</v>
      </c>
      <c r="F57" t="inlineStr">
        <is>
          <t>VÄSTRA GÖTALANDS LÄN</t>
        </is>
      </c>
      <c r="G57" t="inlineStr">
        <is>
          <t>LERUM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45396-2025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45922</v>
      </c>
      <c r="E58" s="1" t="n">
        <v>46288</v>
      </c>
      <c r="F58" t="inlineStr">
        <is>
          <t>VÄSTRA GÖTALANDS LÄN</t>
        </is>
      </c>
      <c r="G58" t="inlineStr">
        <is>
          <t>LERUM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45363-2025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45922</v>
      </c>
      <c r="E59" s="1" t="n">
        <v>46288</v>
      </c>
      <c r="F59" t="inlineStr">
        <is>
          <t>VÄSTRA GÖTALANDS LÄN</t>
        </is>
      </c>
      <c r="G59" t="inlineStr">
        <is>
          <t>LERUM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45483-2025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45922</v>
      </c>
      <c r="E60" s="1" t="n">
        <v>46288</v>
      </c>
      <c r="F60" t="inlineStr">
        <is>
          <t>VÄSTRA GÖTALANDS LÄN</t>
        </is>
      </c>
      <c r="G60" t="inlineStr">
        <is>
          <t>LERUM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41836-2022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44828</v>
      </c>
      <c r="E61" s="1" t="n">
        <v>46288</v>
      </c>
      <c r="F61" t="inlineStr">
        <is>
          <t>VÄSTRA GÖTALANDS LÄN</t>
        </is>
      </c>
      <c r="G61" t="inlineStr">
        <is>
          <t>LERUM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46957-2025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45929</v>
      </c>
      <c r="E62" s="1" t="n">
        <v>46288</v>
      </c>
      <c r="F62" t="inlineStr">
        <is>
          <t>VÄSTRA GÖTALANDS LÄN</t>
        </is>
      </c>
      <c r="G62" t="inlineStr">
        <is>
          <t>LERUM</t>
        </is>
      </c>
      <c r="I62" t="n">
        <v>8.699999999999999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11124-2025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45723</v>
      </c>
      <c r="E63" s="1" t="n">
        <v>46288</v>
      </c>
      <c r="F63" t="inlineStr">
        <is>
          <t>VÄSTRA GÖTALANDS LÄN</t>
        </is>
      </c>
      <c r="G63" t="inlineStr">
        <is>
          <t>LERUM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47599-2025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45931</v>
      </c>
      <c r="E64" s="1" t="n">
        <v>46288</v>
      </c>
      <c r="F64" t="inlineStr">
        <is>
          <t>VÄSTRA GÖTALANDS LÄN</t>
        </is>
      </c>
      <c r="G64" t="inlineStr">
        <is>
          <t>LERUM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66104-2021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46288</v>
      </c>
      <c r="F65" t="inlineStr">
        <is>
          <t>VÄSTRA GÖTALANDS LÄN</t>
        </is>
      </c>
      <c r="G65" t="inlineStr">
        <is>
          <t>LERUM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57186-2022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44895</v>
      </c>
      <c r="E66" s="1" t="n">
        <v>46288</v>
      </c>
      <c r="F66" t="inlineStr">
        <is>
          <t>VÄSTRA GÖTALANDS LÄN</t>
        </is>
      </c>
      <c r="G66" t="inlineStr">
        <is>
          <t>LERUM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57083-2022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44895</v>
      </c>
      <c r="E67" s="1" t="n">
        <v>46288</v>
      </c>
      <c r="F67" t="inlineStr">
        <is>
          <t>VÄSTRA GÖTALANDS LÄN</t>
        </is>
      </c>
      <c r="G67" t="inlineStr">
        <is>
          <t>LERUM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57120-2022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44895</v>
      </c>
      <c r="E68" s="1" t="n">
        <v>46288</v>
      </c>
      <c r="F68" t="inlineStr">
        <is>
          <t>VÄSTRA GÖTALANDS LÄN</t>
        </is>
      </c>
      <c r="G68" t="inlineStr">
        <is>
          <t>LERUM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36756-2022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44805</v>
      </c>
      <c r="E69" s="1" t="n">
        <v>46288</v>
      </c>
      <c r="F69" t="inlineStr">
        <is>
          <t>VÄSTRA GÖTALANDS LÄN</t>
        </is>
      </c>
      <c r="G69" t="inlineStr">
        <is>
          <t>LERUM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2450-2023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44943</v>
      </c>
      <c r="E70" s="1" t="n">
        <v>46288</v>
      </c>
      <c r="F70" t="inlineStr">
        <is>
          <t>VÄSTRA GÖTALANDS LÄN</t>
        </is>
      </c>
      <c r="G70" t="inlineStr">
        <is>
          <t>LERUM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66107-2021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44517</v>
      </c>
      <c r="E71" s="1" t="n">
        <v>46288</v>
      </c>
      <c r="F71" t="inlineStr">
        <is>
          <t>VÄSTRA GÖTALANDS LÄN</t>
        </is>
      </c>
      <c r="G71" t="inlineStr">
        <is>
          <t>LERUM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66008-2021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44517</v>
      </c>
      <c r="E72" s="1" t="n">
        <v>46288</v>
      </c>
      <c r="F72" t="inlineStr">
        <is>
          <t>VÄSTRA GÖTALANDS LÄN</t>
        </is>
      </c>
      <c r="G72" t="inlineStr">
        <is>
          <t>LERUM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57178-2022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44895</v>
      </c>
      <c r="E73" s="1" t="n">
        <v>46288</v>
      </c>
      <c r="F73" t="inlineStr">
        <is>
          <t>VÄSTRA GÖTALANDS LÄN</t>
        </is>
      </c>
      <c r="G73" t="inlineStr">
        <is>
          <t>LERUM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57195-2022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44895</v>
      </c>
      <c r="E74" s="1" t="n">
        <v>46288</v>
      </c>
      <c r="F74" t="inlineStr">
        <is>
          <t>VÄSTRA GÖTALANDS LÄN</t>
        </is>
      </c>
      <c r="G74" t="inlineStr">
        <is>
          <t>LERUM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7272-2023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44970</v>
      </c>
      <c r="E75" s="1" t="n">
        <v>46288</v>
      </c>
      <c r="F75" t="inlineStr">
        <is>
          <t>VÄSTRA GÖTALANDS LÄN</t>
        </is>
      </c>
      <c r="G75" t="inlineStr">
        <is>
          <t>LERUM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50420-2023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45216</v>
      </c>
      <c r="E76" s="1" t="n">
        <v>46288</v>
      </c>
      <c r="F76" t="inlineStr">
        <is>
          <t>VÄSTRA GÖTALANDS LÄN</t>
        </is>
      </c>
      <c r="G76" t="inlineStr">
        <is>
          <t>LERUM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28053-2025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45817</v>
      </c>
      <c r="E77" s="1" t="n">
        <v>46288</v>
      </c>
      <c r="F77" t="inlineStr">
        <is>
          <t>VÄSTRA GÖTALANDS LÄN</t>
        </is>
      </c>
      <c r="G77" t="inlineStr">
        <is>
          <t>LERUM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55429-2025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45971</v>
      </c>
      <c r="E78" s="1" t="n">
        <v>46288</v>
      </c>
      <c r="F78" t="inlineStr">
        <is>
          <t>VÄSTRA GÖTALANDS LÄN</t>
        </is>
      </c>
      <c r="G78" t="inlineStr">
        <is>
          <t>LERUM</t>
        </is>
      </c>
      <c r="I78" t="n">
        <v>4.3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47398-2024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45587</v>
      </c>
      <c r="E79" s="1" t="n">
        <v>46288</v>
      </c>
      <c r="F79" t="inlineStr">
        <is>
          <t>VÄSTRA GÖTALANDS LÄN</t>
        </is>
      </c>
      <c r="G79" t="inlineStr">
        <is>
          <t>LERUM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58042-2025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45982</v>
      </c>
      <c r="E80" s="1" t="n">
        <v>46288</v>
      </c>
      <c r="F80" t="inlineStr">
        <is>
          <t>VÄSTRA GÖTALANDS LÄN</t>
        </is>
      </c>
      <c r="G80" t="inlineStr">
        <is>
          <t>LERUM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7429-2024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45345</v>
      </c>
      <c r="E81" s="1" t="n">
        <v>46288</v>
      </c>
      <c r="F81" t="inlineStr">
        <is>
          <t>VÄSTRA GÖTALANDS LÄN</t>
        </is>
      </c>
      <c r="G81" t="inlineStr">
        <is>
          <t>LERUM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17071-2024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45412</v>
      </c>
      <c r="E82" s="1" t="n">
        <v>46288</v>
      </c>
      <c r="F82" t="inlineStr">
        <is>
          <t>VÄSTRA GÖTALANDS LÄN</t>
        </is>
      </c>
      <c r="G82" t="inlineStr">
        <is>
          <t>LERUM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61762-2025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46002</v>
      </c>
      <c r="E83" s="1" t="n">
        <v>46288</v>
      </c>
      <c r="F83" t="inlineStr">
        <is>
          <t>VÄSTRA GÖTALANDS LÄN</t>
        </is>
      </c>
      <c r="G83" t="inlineStr">
        <is>
          <t>LERUM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61766-2025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46002</v>
      </c>
      <c r="E84" s="1" t="n">
        <v>46288</v>
      </c>
      <c r="F84" t="inlineStr">
        <is>
          <t>VÄSTRA GÖTALANDS LÄN</t>
        </is>
      </c>
      <c r="G84" t="inlineStr">
        <is>
          <t>LERUM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62769-2025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46008</v>
      </c>
      <c r="E85" s="1" t="n">
        <v>46288</v>
      </c>
      <c r="F85" t="inlineStr">
        <is>
          <t>VÄSTRA GÖTALANDS LÄN</t>
        </is>
      </c>
      <c r="G85" t="inlineStr">
        <is>
          <t>LERUM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62774-2025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46008</v>
      </c>
      <c r="E86" s="1" t="n">
        <v>46288</v>
      </c>
      <c r="F86" t="inlineStr">
        <is>
          <t>VÄSTRA GÖTALANDS LÄN</t>
        </is>
      </c>
      <c r="G86" t="inlineStr">
        <is>
          <t>LERUM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62757-2025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46008</v>
      </c>
      <c r="E87" s="1" t="n">
        <v>46288</v>
      </c>
      <c r="F87" t="inlineStr">
        <is>
          <t>VÄSTRA GÖTALANDS LÄN</t>
        </is>
      </c>
      <c r="G87" t="inlineStr">
        <is>
          <t>LERUM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4883-2024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45329</v>
      </c>
      <c r="E88" s="1" t="n">
        <v>46288</v>
      </c>
      <c r="F88" t="inlineStr">
        <is>
          <t>VÄSTRA GÖTALANDS LÄN</t>
        </is>
      </c>
      <c r="G88" t="inlineStr">
        <is>
          <t>LERUM</t>
        </is>
      </c>
      <c r="I88" t="n">
        <v>6.9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2420-2026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46034</v>
      </c>
      <c r="E89" s="1" t="n">
        <v>46288</v>
      </c>
      <c r="F89" t="inlineStr">
        <is>
          <t>VÄSTRA GÖTALANDS LÄN</t>
        </is>
      </c>
      <c r="G89" t="inlineStr">
        <is>
          <t>LERUM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2335-2026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46036</v>
      </c>
      <c r="E90" s="1" t="n">
        <v>46288</v>
      </c>
      <c r="F90" t="inlineStr">
        <is>
          <t>VÄSTRA GÖTALANDS LÄN</t>
        </is>
      </c>
      <c r="G90" t="inlineStr">
        <is>
          <t>LERUM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20680-2022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44700</v>
      </c>
      <c r="E91" s="1" t="n">
        <v>46288</v>
      </c>
      <c r="F91" t="inlineStr">
        <is>
          <t>VÄSTRA GÖTALANDS LÄN</t>
        </is>
      </c>
      <c r="G91" t="inlineStr">
        <is>
          <t>LERUM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40709-2023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45170</v>
      </c>
      <c r="E92" s="1" t="n">
        <v>46288</v>
      </c>
      <c r="F92" t="inlineStr">
        <is>
          <t>VÄSTRA GÖTALANDS LÄN</t>
        </is>
      </c>
      <c r="G92" t="inlineStr">
        <is>
          <t>LERUM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11232-2025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45726</v>
      </c>
      <c r="E93" s="1" t="n">
        <v>46288</v>
      </c>
      <c r="F93" t="inlineStr">
        <is>
          <t>VÄSTRA GÖTALANDS LÄN</t>
        </is>
      </c>
      <c r="G93" t="inlineStr">
        <is>
          <t>LERUM</t>
        </is>
      </c>
      <c r="I93" t="n">
        <v>0.1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24163-2024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45441</v>
      </c>
      <c r="E94" s="1" t="n">
        <v>46288</v>
      </c>
      <c r="F94" t="inlineStr">
        <is>
          <t>VÄSTRA GÖTALANDS LÄN</t>
        </is>
      </c>
      <c r="G94" t="inlineStr">
        <is>
          <t>LERUM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14067-2024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45392</v>
      </c>
      <c r="E95" s="1" t="n">
        <v>46288</v>
      </c>
      <c r="F95" t="inlineStr">
        <is>
          <t>VÄSTRA GÖTALANDS LÄN</t>
        </is>
      </c>
      <c r="G95" t="inlineStr">
        <is>
          <t>LERUM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5359-2023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44959</v>
      </c>
      <c r="E96" s="1" t="n">
        <v>46288</v>
      </c>
      <c r="F96" t="inlineStr">
        <is>
          <t>VÄSTRA GÖTALANDS LÄN</t>
        </is>
      </c>
      <c r="G96" t="inlineStr">
        <is>
          <t>LERUM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21133-2022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44704</v>
      </c>
      <c r="E97" s="1" t="n">
        <v>46288</v>
      </c>
      <c r="F97" t="inlineStr">
        <is>
          <t>VÄSTRA GÖTALANDS LÄN</t>
        </is>
      </c>
      <c r="G97" t="inlineStr">
        <is>
          <t>LERUM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30034-2026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46206</v>
      </c>
      <c r="E98" s="1" t="n">
        <v>46288</v>
      </c>
      <c r="F98" t="inlineStr">
        <is>
          <t>VÄSTRA GÖTALANDS LÄN</t>
        </is>
      </c>
      <c r="G98" t="inlineStr">
        <is>
          <t>LERUM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19238-2026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46132</v>
      </c>
      <c r="E99" s="1" t="n">
        <v>46288</v>
      </c>
      <c r="F99" t="inlineStr">
        <is>
          <t>VÄSTRA GÖTALANDS LÄN</t>
        </is>
      </c>
      <c r="G99" t="inlineStr">
        <is>
          <t>LERUM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42526-2024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45565</v>
      </c>
      <c r="E100" s="1" t="n">
        <v>46288</v>
      </c>
      <c r="F100" t="inlineStr">
        <is>
          <t>VÄSTRA GÖTALANDS LÄN</t>
        </is>
      </c>
      <c r="G100" t="inlineStr">
        <is>
          <t>LERUM</t>
        </is>
      </c>
      <c r="H100" t="inlineStr">
        <is>
          <t>Kyrkan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28118-2024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45476</v>
      </c>
      <c r="E101" s="1" t="n">
        <v>46288</v>
      </c>
      <c r="F101" t="inlineStr">
        <is>
          <t>VÄSTRA GÖTALANDS LÄN</t>
        </is>
      </c>
      <c r="G101" t="inlineStr">
        <is>
          <t>LERUM</t>
        </is>
      </c>
      <c r="I101" t="n">
        <v>7.2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28139-2024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45476</v>
      </c>
      <c r="E102" s="1" t="n">
        <v>46288</v>
      </c>
      <c r="F102" t="inlineStr">
        <is>
          <t>VÄSTRA GÖTALANDS LÄN</t>
        </is>
      </c>
      <c r="G102" t="inlineStr">
        <is>
          <t>LERUM</t>
        </is>
      </c>
      <c r="I102" t="n">
        <v>5.2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7990-2024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45350</v>
      </c>
      <c r="E103" s="1" t="n">
        <v>46288</v>
      </c>
      <c r="F103" t="inlineStr">
        <is>
          <t>VÄSTRA GÖTALANDS LÄN</t>
        </is>
      </c>
      <c r="G103" t="inlineStr">
        <is>
          <t>LERUM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16648-2023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45028</v>
      </c>
      <c r="E104" s="1" t="n">
        <v>46288</v>
      </c>
      <c r="F104" t="inlineStr">
        <is>
          <t>VÄSTRA GÖTALANDS LÄN</t>
        </is>
      </c>
      <c r="G104" t="inlineStr">
        <is>
          <t>LERUM</t>
        </is>
      </c>
      <c r="H104" t="inlineStr">
        <is>
          <t>Kyrkan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37639-2026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46276</v>
      </c>
      <c r="E105" s="1" t="n">
        <v>46288</v>
      </c>
      <c r="F105" t="inlineStr">
        <is>
          <t>VÄSTRA GÖTALANDS LÄN</t>
        </is>
      </c>
      <c r="G105" t="inlineStr">
        <is>
          <t>LERUM</t>
        </is>
      </c>
      <c r="I105" t="n">
        <v>11.6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790-2024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45300</v>
      </c>
      <c r="E106" s="1" t="n">
        <v>46288</v>
      </c>
      <c r="F106" t="inlineStr">
        <is>
          <t>VÄSTRA GÖTALANDS LÄN</t>
        </is>
      </c>
      <c r="G106" t="inlineStr">
        <is>
          <t>LERUM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28157-2022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44746</v>
      </c>
      <c r="E107" s="1" t="n">
        <v>46288</v>
      </c>
      <c r="F107" t="inlineStr">
        <is>
          <t>VÄSTRA GÖTALANDS LÄN</t>
        </is>
      </c>
      <c r="G107" t="inlineStr">
        <is>
          <t>LERUM</t>
        </is>
      </c>
      <c r="I107" t="n">
        <v>5.4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33070-2026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46245</v>
      </c>
      <c r="E108" s="1" t="n">
        <v>46288</v>
      </c>
      <c r="F108" t="inlineStr">
        <is>
          <t>VÄSTRA GÖTALANDS LÄN</t>
        </is>
      </c>
      <c r="G108" t="inlineStr">
        <is>
          <t>LERUM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21836-2022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44710</v>
      </c>
      <c r="E109" s="1" t="n">
        <v>46288</v>
      </c>
      <c r="F109" t="inlineStr">
        <is>
          <t>VÄSTRA GÖTALANDS LÄN</t>
        </is>
      </c>
      <c r="G109" t="inlineStr">
        <is>
          <t>LERUM</t>
        </is>
      </c>
      <c r="I109" t="n">
        <v>5.9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26073-2025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45805</v>
      </c>
      <c r="E110" s="1" t="n">
        <v>46288</v>
      </c>
      <c r="F110" t="inlineStr">
        <is>
          <t>VÄSTRA GÖTALANDS LÄN</t>
        </is>
      </c>
      <c r="G110" t="inlineStr">
        <is>
          <t>LERUM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27367-2025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45812</v>
      </c>
      <c r="E111" s="1" t="n">
        <v>46288</v>
      </c>
      <c r="F111" t="inlineStr">
        <is>
          <t>VÄSTRA GÖTALANDS LÄN</t>
        </is>
      </c>
      <c r="G111" t="inlineStr">
        <is>
          <t>LERUM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32093-2025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45835</v>
      </c>
      <c r="E112" s="1" t="n">
        <v>46288</v>
      </c>
      <c r="F112" t="inlineStr">
        <is>
          <t>VÄSTRA GÖTALANDS LÄN</t>
        </is>
      </c>
      <c r="G112" t="inlineStr">
        <is>
          <t>LERUM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32095-2025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45835</v>
      </c>
      <c r="E113" s="1" t="n">
        <v>46288</v>
      </c>
      <c r="F113" t="inlineStr">
        <is>
          <t>VÄSTRA GÖTALANDS LÄN</t>
        </is>
      </c>
      <c r="G113" t="inlineStr">
        <is>
          <t>LERUM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3456-2024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45539</v>
      </c>
      <c r="E114" s="1" t="n">
        <v>46288</v>
      </c>
      <c r="F114" t="inlineStr">
        <is>
          <t>VÄSTRA GÖTALANDS LÄN</t>
        </is>
      </c>
      <c r="G114" t="inlineStr">
        <is>
          <t>LERUM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>
      <c r="A115" t="inlineStr">
        <is>
          <t>S 3064-2024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45517</v>
      </c>
      <c r="E115" s="1" t="n">
        <v>46288</v>
      </c>
      <c r="F115" t="inlineStr">
        <is>
          <t>VÄSTRA GÖTALANDS LÄN</t>
        </is>
      </c>
      <c r="G115" t="inlineStr">
        <is>
          <t>LERUM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2026-09-23T01:58:17Z</dcterms:created>
  <dcterms:modified xmlns:dcterms="http://purl.org/dc/terms/" xmlns:xsi="http://www.w3.org/2001/XMLSchema-instance" xsi:type="dcterms:W3CDTF">2026-09-23T01:58:17Z</dcterms:modified>
</cp:coreProperties>
</file>