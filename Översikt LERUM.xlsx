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45875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45875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45875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45875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14442-2025</t>
        </is>
      </c>
      <c r="B6" s="1" t="n">
        <v>45741</v>
      </c>
      <c r="C6" s="1" t="n">
        <v>45875</v>
      </c>
      <c r="D6" t="inlineStr">
        <is>
          <t>VÄSTRA GÖTALANDS LÄN</t>
        </is>
      </c>
      <c r="E6" t="inlineStr">
        <is>
          <t>LERUM</t>
        </is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Ask
Grönfink
Mindre hackspett
Huggorm</t>
        </is>
      </c>
      <c r="S6">
        <f>HYPERLINK("https://klasma.github.io/Logging_141441/artfynd/A 14442-2025 artfynd.xlsx", "A 14442-2025")</f>
        <v/>
      </c>
      <c r="T6">
        <f>HYPERLINK("https://klasma.github.io/Logging_141441/kartor/A 14442-2025 karta.png", "A 14442-2025")</f>
        <v/>
      </c>
      <c r="V6">
        <f>HYPERLINK("https://klasma.github.io/Logging_141441/klagomål/A 14442-2025 FSC-klagomål.docx", "A 14442-2025")</f>
        <v/>
      </c>
      <c r="W6">
        <f>HYPERLINK("https://klasma.github.io/Logging_141441/klagomålsmail/A 14442-2025 FSC-klagomål mail.docx", "A 14442-2025")</f>
        <v/>
      </c>
      <c r="X6">
        <f>HYPERLINK("https://klasma.github.io/Logging_141441/tillsyn/A 14442-2025 tillsynsbegäran.docx", "A 14442-2025")</f>
        <v/>
      </c>
      <c r="Y6">
        <f>HYPERLINK("https://klasma.github.io/Logging_141441/tillsynsmail/A 14442-2025 tillsynsbegäran mail.docx", "A 14442-2025")</f>
        <v/>
      </c>
      <c r="Z6">
        <f>HYPERLINK("https://klasma.github.io/Logging_141441/fåglar/A 14442-2025 prioriterade fågelarter.docx", "A 14442-2025")</f>
        <v/>
      </c>
    </row>
    <row r="7" ht="15" customHeight="1">
      <c r="A7" t="inlineStr">
        <is>
          <t>A 28233-2022</t>
        </is>
      </c>
      <c r="B7" s="1" t="n">
        <v>44746</v>
      </c>
      <c r="C7" s="1" t="n">
        <v>45875</v>
      </c>
      <c r="D7" t="inlineStr">
        <is>
          <t>VÄSTRA GÖTALANDS LÄN</t>
        </is>
      </c>
      <c r="E7" t="inlineStr">
        <is>
          <t>LERUM</t>
        </is>
      </c>
      <c r="F7" t="inlineStr">
        <is>
          <t>Kommuner</t>
        </is>
      </c>
      <c r="G7" t="n">
        <v>1.7</v>
      </c>
      <c r="H7" t="n">
        <v>1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Björksplintborre
Vanlig groda</t>
        </is>
      </c>
      <c r="S7">
        <f>HYPERLINK("https://klasma.github.io/Logging_1441/artfynd/A 28233-2022 artfynd.xlsx", "A 28233-2022")</f>
        <v/>
      </c>
      <c r="T7">
        <f>HYPERLINK("https://klasma.github.io/Logging_1441/kartor/A 28233-2022 karta.png", "A 28233-2022")</f>
        <v/>
      </c>
      <c r="V7">
        <f>HYPERLINK("https://klasma.github.io/Logging_1441/klagomål/A 28233-2022 FSC-klagomål.docx", "A 28233-2022")</f>
        <v/>
      </c>
      <c r="W7">
        <f>HYPERLINK("https://klasma.github.io/Logging_1441/klagomålsmail/A 28233-2022 FSC-klagomål mail.docx", "A 28233-2022")</f>
        <v/>
      </c>
      <c r="X7">
        <f>HYPERLINK("https://klasma.github.io/Logging_1441/tillsyn/A 28233-2022 tillsynsbegäran.docx", "A 28233-2022")</f>
        <v/>
      </c>
      <c r="Y7">
        <f>HYPERLINK("https://klasma.github.io/Logging_1441/tillsynsmail/A 28233-2022 tillsynsbegäran mail.docx", "A 28233-2022")</f>
        <v/>
      </c>
    </row>
    <row r="8" ht="15" customHeight="1">
      <c r="A8" t="inlineStr">
        <is>
          <t>A 2440-2023</t>
        </is>
      </c>
      <c r="B8" s="1" t="n">
        <v>44943</v>
      </c>
      <c r="C8" s="1" t="n">
        <v>45875</v>
      </c>
      <c r="D8" t="inlineStr">
        <is>
          <t>VÄSTRA GÖTALANDS LÄN</t>
        </is>
      </c>
      <c r="E8" t="inlineStr">
        <is>
          <t>LERUM</t>
        </is>
      </c>
      <c r="G8" t="n">
        <v>2.4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Blåmossa
Vanlig groda</t>
        </is>
      </c>
      <c r="S8">
        <f>HYPERLINK("https://klasma.github.io/Logging_1441/artfynd/A 2440-2023 artfynd.xlsx", "A 2440-2023")</f>
        <v/>
      </c>
      <c r="T8">
        <f>HYPERLINK("https://klasma.github.io/Logging_1441/kartor/A 2440-2023 karta.png", "A 2440-2023")</f>
        <v/>
      </c>
      <c r="V8">
        <f>HYPERLINK("https://klasma.github.io/Logging_1441/klagomål/A 2440-2023 FSC-klagomål.docx", "A 2440-2023")</f>
        <v/>
      </c>
      <c r="W8">
        <f>HYPERLINK("https://klasma.github.io/Logging_1441/klagomålsmail/A 2440-2023 FSC-klagomål mail.docx", "A 2440-2023")</f>
        <v/>
      </c>
      <c r="X8">
        <f>HYPERLINK("https://klasma.github.io/Logging_1441/tillsyn/A 2440-2023 tillsynsbegäran.docx", "A 2440-2023")</f>
        <v/>
      </c>
      <c r="Y8">
        <f>HYPERLINK("https://klasma.github.io/Logging_1441/tillsynsmail/A 2440-2023 tillsynsbegäran mail.docx", "A 2440-2023")</f>
        <v/>
      </c>
    </row>
    <row r="9" ht="15" customHeight="1">
      <c r="A9" t="inlineStr">
        <is>
          <t>A 12259-2025</t>
        </is>
      </c>
      <c r="B9" s="1" t="n">
        <v>45729</v>
      </c>
      <c r="C9" s="1" t="n">
        <v>45875</v>
      </c>
      <c r="D9" t="inlineStr">
        <is>
          <t>VÄSTRA GÖTALANDS LÄN</t>
        </is>
      </c>
      <c r="E9" t="inlineStr">
        <is>
          <t>LERUM</t>
        </is>
      </c>
      <c r="G9" t="n">
        <v>5.2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Plattlummer
Vanlig groda
Vanlig padda</t>
        </is>
      </c>
      <c r="S9">
        <f>HYPERLINK("https://klasma.github.io/Logging_141441/artfynd/A 12259-2025 artfynd.xlsx", "A 12259-2025")</f>
        <v/>
      </c>
      <c r="T9">
        <f>HYPERLINK("https://klasma.github.io/Logging_141441/kartor/A 12259-2025 karta.png", "A 12259-2025")</f>
        <v/>
      </c>
      <c r="V9">
        <f>HYPERLINK("https://klasma.github.io/Logging_141441/klagomål/A 12259-2025 FSC-klagomål.docx", "A 12259-2025")</f>
        <v/>
      </c>
      <c r="W9">
        <f>HYPERLINK("https://klasma.github.io/Logging_141441/klagomålsmail/A 12259-2025 FSC-klagomål mail.docx", "A 12259-2025")</f>
        <v/>
      </c>
      <c r="X9">
        <f>HYPERLINK("https://klasma.github.io/Logging_141441/tillsyn/A 12259-2025 tillsynsbegäran.docx", "A 12259-2025")</f>
        <v/>
      </c>
      <c r="Y9">
        <f>HYPERLINK("https://klasma.github.io/Logging_141441/tillsynsmail/A 12259-2025 tillsynsbegäran mail.docx", "A 12259-2025")</f>
        <v/>
      </c>
    </row>
    <row r="10" ht="15" customHeight="1">
      <c r="A10" t="inlineStr">
        <is>
          <t>A 24713-2019</t>
        </is>
      </c>
      <c r="B10" s="1" t="n">
        <v>43601</v>
      </c>
      <c r="C10" s="1" t="n">
        <v>45875</v>
      </c>
      <c r="D10" t="inlineStr">
        <is>
          <t>VÄSTRA GÖTALANDS LÄN</t>
        </is>
      </c>
      <c r="E10" t="inlineStr">
        <is>
          <t>LERUM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Svartvit taggsvamp</t>
        </is>
      </c>
      <c r="S10">
        <f>HYPERLINK("https://klasma.github.io/Logging_1441/artfynd/A 24713-2019 artfynd.xlsx", "A 24713-2019")</f>
        <v/>
      </c>
      <c r="T10">
        <f>HYPERLINK("https://klasma.github.io/Logging_1441/kartor/A 24713-2019 karta.png", "A 24713-2019")</f>
        <v/>
      </c>
      <c r="V10">
        <f>HYPERLINK("https://klasma.github.io/Logging_1441/klagomål/A 24713-2019 FSC-klagomål.docx", "A 24713-2019")</f>
        <v/>
      </c>
      <c r="W10">
        <f>HYPERLINK("https://klasma.github.io/Logging_1441/klagomålsmail/A 24713-2019 FSC-klagomål mail.docx", "A 24713-2019")</f>
        <v/>
      </c>
      <c r="X10">
        <f>HYPERLINK("https://klasma.github.io/Logging_1441/tillsyn/A 24713-2019 tillsynsbegäran.docx", "A 24713-2019")</f>
        <v/>
      </c>
      <c r="Y10">
        <f>HYPERLINK("https://klasma.github.io/Logging_1441/tillsynsmail/A 24713-2019 tillsynsbegäran mail.docx", "A 24713-2019")</f>
        <v/>
      </c>
    </row>
    <row r="11" ht="15" customHeight="1">
      <c r="A11" t="inlineStr">
        <is>
          <t>A 22268-2022</t>
        </is>
      </c>
      <c r="B11" s="1" t="n">
        <v>44712</v>
      </c>
      <c r="C11" s="1" t="n">
        <v>45875</v>
      </c>
      <c r="D11" t="inlineStr">
        <is>
          <t>VÄSTRA GÖTALANDS LÄN</t>
        </is>
      </c>
      <c r="E11" t="inlineStr">
        <is>
          <t>LERUM</t>
        </is>
      </c>
      <c r="G11" t="n">
        <v>16.6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Stubbspretmossa</t>
        </is>
      </c>
      <c r="S11">
        <f>HYPERLINK("https://klasma.github.io/Logging_1441/artfynd/A 22268-2022 artfynd.xlsx", "A 22268-2022")</f>
        <v/>
      </c>
      <c r="T11">
        <f>HYPERLINK("https://klasma.github.io/Logging_1441/kartor/A 22268-2022 karta.png", "A 22268-2022")</f>
        <v/>
      </c>
      <c r="V11">
        <f>HYPERLINK("https://klasma.github.io/Logging_1441/klagomål/A 22268-2022 FSC-klagomål.docx", "A 22268-2022")</f>
        <v/>
      </c>
      <c r="W11">
        <f>HYPERLINK("https://klasma.github.io/Logging_1441/klagomålsmail/A 22268-2022 FSC-klagomål mail.docx", "A 22268-2022")</f>
        <v/>
      </c>
      <c r="X11">
        <f>HYPERLINK("https://klasma.github.io/Logging_1441/tillsyn/A 22268-2022 tillsynsbegäran.docx", "A 22268-2022")</f>
        <v/>
      </c>
      <c r="Y11">
        <f>HYPERLINK("https://klasma.github.io/Logging_1441/tillsynsmail/A 22268-2022 tillsynsbegäran mail.docx", "A 22268-2022")</f>
        <v/>
      </c>
    </row>
    <row r="12" ht="15" customHeight="1">
      <c r="A12" t="inlineStr">
        <is>
          <t>A 2447-2023</t>
        </is>
      </c>
      <c r="B12" s="1" t="n">
        <v>44943</v>
      </c>
      <c r="C12" s="1" t="n">
        <v>45875</v>
      </c>
      <c r="D12" t="inlineStr">
        <is>
          <t>VÄSTRA GÖTALANDS LÄN</t>
        </is>
      </c>
      <c r="E12" t="inlineStr">
        <is>
          <t>LERUM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Dolkstekelsglasvinge
Vanlig groda</t>
        </is>
      </c>
      <c r="S12">
        <f>HYPERLINK("https://klasma.github.io/Logging_1441/artfynd/A 2447-2023 artfynd.xlsx", "A 2447-2023")</f>
        <v/>
      </c>
      <c r="T12">
        <f>HYPERLINK("https://klasma.github.io/Logging_1441/kartor/A 2447-2023 karta.png", "A 2447-2023")</f>
        <v/>
      </c>
      <c r="V12">
        <f>HYPERLINK("https://klasma.github.io/Logging_1441/klagomål/A 2447-2023 FSC-klagomål.docx", "A 2447-2023")</f>
        <v/>
      </c>
      <c r="W12">
        <f>HYPERLINK("https://klasma.github.io/Logging_1441/klagomålsmail/A 2447-2023 FSC-klagomål mail.docx", "A 2447-2023")</f>
        <v/>
      </c>
      <c r="X12">
        <f>HYPERLINK("https://klasma.github.io/Logging_1441/tillsyn/A 2447-2023 tillsynsbegäran.docx", "A 2447-2023")</f>
        <v/>
      </c>
      <c r="Y12">
        <f>HYPERLINK("https://klasma.github.io/Logging_1441/tillsynsmail/A 2447-2023 tillsynsbegäran mail.docx", "A 2447-2023")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45875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45875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40566-2019</t>
        </is>
      </c>
      <c r="B15" s="1" t="n">
        <v>43696</v>
      </c>
      <c r="C15" s="1" t="n">
        <v>45875</v>
      </c>
      <c r="D15" t="inlineStr">
        <is>
          <t>VÄSTRA GÖTALANDS LÄN</t>
        </is>
      </c>
      <c r="E15" t="inlineStr">
        <is>
          <t>LERUM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Törnskata</t>
        </is>
      </c>
      <c r="S15">
        <f>HYPERLINK("https://klasma.github.io/Logging_1441/artfynd/A 40566-2019 artfynd.xlsx", "A 40566-2019")</f>
        <v/>
      </c>
      <c r="T15">
        <f>HYPERLINK("https://klasma.github.io/Logging_1441/kartor/A 40566-2019 karta.png", "A 40566-2019")</f>
        <v/>
      </c>
      <c r="V15">
        <f>HYPERLINK("https://klasma.github.io/Logging_1441/klagomål/A 40566-2019 FSC-klagomål.docx", "A 40566-2019")</f>
        <v/>
      </c>
      <c r="W15">
        <f>HYPERLINK("https://klasma.github.io/Logging_1441/klagomålsmail/A 40566-2019 FSC-klagomål mail.docx", "A 40566-2019")</f>
        <v/>
      </c>
      <c r="X15">
        <f>HYPERLINK("https://klasma.github.io/Logging_1441/tillsyn/A 40566-2019 tillsynsbegäran.docx", "A 40566-2019")</f>
        <v/>
      </c>
      <c r="Y15">
        <f>HYPERLINK("https://klasma.github.io/Logging_1441/tillsynsmail/A 40566-2019 tillsynsbegäran mail.docx", "A 40566-2019")</f>
        <v/>
      </c>
      <c r="Z15">
        <f>HYPERLINK("https://klasma.github.io/Logging_1441/fåglar/A 40566-2019 prioriterade fågelarter.docx", "A 40566-2019")</f>
        <v/>
      </c>
    </row>
    <row r="16" ht="15" customHeight="1">
      <c r="A16" t="inlineStr">
        <is>
          <t>A 4231-2020</t>
        </is>
      </c>
      <c r="B16" s="1" t="n">
        <v>43857</v>
      </c>
      <c r="C16" s="1" t="n">
        <v>45875</v>
      </c>
      <c r="D16" t="inlineStr">
        <is>
          <t>VÄSTRA GÖTALANDS LÄN</t>
        </is>
      </c>
      <c r="E16" t="inlineStr">
        <is>
          <t>LERUM</t>
        </is>
      </c>
      <c r="G16" t="n">
        <v>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4231-2020 artfynd.xlsx", "A 4231-2020")</f>
        <v/>
      </c>
      <c r="T16">
        <f>HYPERLINK("https://klasma.github.io/Logging_1441/kartor/A 4231-2020 karta.png", "A 4231-2020")</f>
        <v/>
      </c>
      <c r="V16">
        <f>HYPERLINK("https://klasma.github.io/Logging_1441/klagomål/A 4231-2020 FSC-klagomål.docx", "A 4231-2020")</f>
        <v/>
      </c>
      <c r="W16">
        <f>HYPERLINK("https://klasma.github.io/Logging_1441/klagomålsmail/A 4231-2020 FSC-klagomål mail.docx", "A 4231-2020")</f>
        <v/>
      </c>
      <c r="X16">
        <f>HYPERLINK("https://klasma.github.io/Logging_1441/tillsyn/A 4231-2020 tillsynsbegäran.docx", "A 4231-2020")</f>
        <v/>
      </c>
      <c r="Y16">
        <f>HYPERLINK("https://klasma.github.io/Logging_1441/tillsynsmail/A 4231-2020 tillsynsbegäran mail.docx", "A 4231-2020")</f>
        <v/>
      </c>
    </row>
    <row r="17" ht="15" customHeight="1">
      <c r="A17" t="inlineStr">
        <is>
          <t>A 40799-2020</t>
        </is>
      </c>
      <c r="B17" s="1" t="n">
        <v>44070</v>
      </c>
      <c r="C17" s="1" t="n">
        <v>45875</v>
      </c>
      <c r="D17" t="inlineStr">
        <is>
          <t>VÄSTRA GÖTALANDS LÄN</t>
        </is>
      </c>
      <c r="E17" t="inlineStr">
        <is>
          <t>LERUM</t>
        </is>
      </c>
      <c r="G17" t="n">
        <v>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HYPERLINK("https://klasma.github.io/Logging_1441/artfynd/A 40799-2020 artfynd.xlsx", "A 40799-2020")</f>
        <v/>
      </c>
      <c r="T17">
        <f>HYPERLINK("https://klasma.github.io/Logging_1441/kartor/A 40799-2020 karta.png", "A 40799-2020")</f>
        <v/>
      </c>
      <c r="U17">
        <f>HYPERLINK("https://klasma.github.io/Logging_1441/knärot/A 40799-2020 karta knärot.png", "A 40799-2020")</f>
        <v/>
      </c>
      <c r="V17">
        <f>HYPERLINK("https://klasma.github.io/Logging_1441/klagomål/A 40799-2020 FSC-klagomål.docx", "A 40799-2020")</f>
        <v/>
      </c>
      <c r="W17">
        <f>HYPERLINK("https://klasma.github.io/Logging_1441/klagomålsmail/A 40799-2020 FSC-klagomål mail.docx", "A 40799-2020")</f>
        <v/>
      </c>
      <c r="X17">
        <f>HYPERLINK("https://klasma.github.io/Logging_1441/tillsyn/A 40799-2020 tillsynsbegäran.docx", "A 40799-2020")</f>
        <v/>
      </c>
      <c r="Y17">
        <f>HYPERLINK("https://klasma.github.io/Logging_1441/tillsynsmail/A 40799-2020 tillsynsbegäran mail.docx", "A 40799-2020")</f>
        <v/>
      </c>
    </row>
    <row r="18" ht="15" customHeight="1">
      <c r="A18" t="inlineStr">
        <is>
          <t>A 15136-2022</t>
        </is>
      </c>
      <c r="B18" s="1" t="n">
        <v>44658</v>
      </c>
      <c r="C18" s="1" t="n">
        <v>45875</v>
      </c>
      <c r="D18" t="inlineStr">
        <is>
          <t>VÄSTRA GÖTALANDS LÄN</t>
        </is>
      </c>
      <c r="E18" t="inlineStr">
        <is>
          <t>LERUM</t>
        </is>
      </c>
      <c r="G18" t="n">
        <v>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HYPERLINK("https://klasma.github.io/Logging_1441/artfynd/A 15136-2022 artfynd.xlsx", "A 15136-2022")</f>
        <v/>
      </c>
      <c r="T18">
        <f>HYPERLINK("https://klasma.github.io/Logging_1441/kartor/A 15136-2022 karta.png", "A 15136-2022")</f>
        <v/>
      </c>
      <c r="V18">
        <f>HYPERLINK("https://klasma.github.io/Logging_1441/klagomål/A 15136-2022 FSC-klagomål.docx", "A 15136-2022")</f>
        <v/>
      </c>
      <c r="W18">
        <f>HYPERLINK("https://klasma.github.io/Logging_1441/klagomålsmail/A 15136-2022 FSC-klagomål mail.docx", "A 15136-2022")</f>
        <v/>
      </c>
      <c r="X18">
        <f>HYPERLINK("https://klasma.github.io/Logging_1441/tillsyn/A 15136-2022 tillsynsbegäran.docx", "A 15136-2022")</f>
        <v/>
      </c>
      <c r="Y18">
        <f>HYPERLINK("https://klasma.github.io/Logging_1441/tillsynsmail/A 15136-2022 tillsynsbegäran mail.docx", "A 15136-2022")</f>
        <v/>
      </c>
      <c r="Z18">
        <f>HYPERLINK("https://klasma.github.io/Logging_1441/fåglar/A 15136-2022 prioriterade fågelarter.docx", "A 15136-2022")</f>
        <v/>
      </c>
    </row>
    <row r="19" ht="15" customHeight="1">
      <c r="A19" t="inlineStr">
        <is>
          <t>A 52973-2022</t>
        </is>
      </c>
      <c r="B19" s="1" t="n">
        <v>44875</v>
      </c>
      <c r="C19" s="1" t="n">
        <v>45875</v>
      </c>
      <c r="D19" t="inlineStr">
        <is>
          <t>VÄSTRA GÖTALANDS LÄN</t>
        </is>
      </c>
      <c r="E19" t="inlineStr">
        <is>
          <t>LERUM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HYPERLINK("https://klasma.github.io/Logging_1441/artfynd/A 52973-2022 artfynd.xlsx", "A 52973-2022")</f>
        <v/>
      </c>
      <c r="T19">
        <f>HYPERLINK("https://klasma.github.io/Logging_1441/kartor/A 52973-2022 karta.png", "A 52973-2022")</f>
        <v/>
      </c>
      <c r="V19">
        <f>HYPERLINK("https://klasma.github.io/Logging_1441/klagomål/A 52973-2022 FSC-klagomål.docx", "A 52973-2022")</f>
        <v/>
      </c>
      <c r="W19">
        <f>HYPERLINK("https://klasma.github.io/Logging_1441/klagomålsmail/A 52973-2022 FSC-klagomål mail.docx", "A 52973-2022")</f>
        <v/>
      </c>
      <c r="X19">
        <f>HYPERLINK("https://klasma.github.io/Logging_1441/tillsyn/A 52973-2022 tillsynsbegäran.docx", "A 52973-2022")</f>
        <v/>
      </c>
      <c r="Y19">
        <f>HYPERLINK("https://klasma.github.io/Logging_1441/tillsynsmail/A 52973-2022 tillsynsbegäran mail.docx", "A 52973-2022")</f>
        <v/>
      </c>
    </row>
    <row r="20" ht="15" customHeight="1">
      <c r="A20" t="inlineStr">
        <is>
          <t>A 56911-2022</t>
        </is>
      </c>
      <c r="B20" s="1" t="n">
        <v>44894</v>
      </c>
      <c r="C20" s="1" t="n">
        <v>45875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HYPERLINK("https://klasma.github.io/Logging_1441/artfynd/A 56911-2022 artfynd.xlsx", "A 56911-2022")</f>
        <v/>
      </c>
      <c r="T20">
        <f>HYPERLINK("https://klasma.github.io/Logging_1441/kartor/A 56911-2022 karta.png", "A 56911-2022")</f>
        <v/>
      </c>
      <c r="V20">
        <f>HYPERLINK("https://klasma.github.io/Logging_1441/klagomål/A 56911-2022 FSC-klagomål.docx", "A 56911-2022")</f>
        <v/>
      </c>
      <c r="W20">
        <f>HYPERLINK("https://klasma.github.io/Logging_1441/klagomålsmail/A 56911-2022 FSC-klagomål mail.docx", "A 56911-2022")</f>
        <v/>
      </c>
      <c r="X20">
        <f>HYPERLINK("https://klasma.github.io/Logging_1441/tillsyn/A 56911-2022 tillsynsbegäran.docx", "A 56911-2022")</f>
        <v/>
      </c>
      <c r="Y20">
        <f>HYPERLINK("https://klasma.github.io/Logging_1441/tillsynsmail/A 56911-2022 tillsynsbegäran mail.docx", "A 56911-2022")</f>
        <v/>
      </c>
      <c r="Z20">
        <f>HYPERLINK("https://klasma.github.io/Logging_1441/fåglar/A 56911-2022 prioriterade fågelarter.docx", "A 56911-2022")</f>
        <v/>
      </c>
    </row>
    <row r="21" ht="15" customHeight="1">
      <c r="A21" t="inlineStr">
        <is>
          <t>A 2438-2023</t>
        </is>
      </c>
      <c r="B21" s="1" t="n">
        <v>44943</v>
      </c>
      <c r="C21" s="1" t="n">
        <v>45875</v>
      </c>
      <c r="D21" t="inlineStr">
        <is>
          <t>VÄSTRA GÖTALANDS LÄN</t>
        </is>
      </c>
      <c r="E21" t="inlineStr">
        <is>
          <t>LERUM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HYPERLINK("https://klasma.github.io/Logging_1441/artfynd/A 2438-2023 artfynd.xlsx", "A 2438-2023")</f>
        <v/>
      </c>
      <c r="T21">
        <f>HYPERLINK("https://klasma.github.io/Logging_1441/kartor/A 2438-2023 karta.png", "A 2438-2023")</f>
        <v/>
      </c>
      <c r="V21">
        <f>HYPERLINK("https://klasma.github.io/Logging_1441/klagomål/A 2438-2023 FSC-klagomål.docx", "A 2438-2023")</f>
        <v/>
      </c>
      <c r="W21">
        <f>HYPERLINK("https://klasma.github.io/Logging_1441/klagomålsmail/A 2438-2023 FSC-klagomål mail.docx", "A 2438-2023")</f>
        <v/>
      </c>
      <c r="X21">
        <f>HYPERLINK("https://klasma.github.io/Logging_1441/tillsyn/A 2438-2023 tillsynsbegäran.docx", "A 2438-2023")</f>
        <v/>
      </c>
      <c r="Y21">
        <f>HYPERLINK("https://klasma.github.io/Logging_1441/tillsynsmail/A 2438-2023 tillsynsbegäran mail.docx", "A 2438-2023")</f>
        <v/>
      </c>
    </row>
    <row r="22" ht="15" customHeight="1">
      <c r="A22" t="inlineStr">
        <is>
          <t>A 50502-2024</t>
        </is>
      </c>
      <c r="B22" s="1" t="n">
        <v>45601</v>
      </c>
      <c r="C22" s="1" t="n">
        <v>45875</v>
      </c>
      <c r="D22" t="inlineStr">
        <is>
          <t>VÄSTRA GÖTALANDS LÄN</t>
        </is>
      </c>
      <c r="E22" t="inlineStr">
        <is>
          <t>LERUM</t>
        </is>
      </c>
      <c r="G22" t="n">
        <v>7.5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HYPERLINK("https://klasma.github.io/Logging_1441/artfynd/A 50502-2024 artfynd.xlsx", "A 50502-2024")</f>
        <v/>
      </c>
      <c r="T22">
        <f>HYPERLINK("https://klasma.github.io/Logging_1441/kartor/A 50502-2024 karta.png", "A 50502-2024")</f>
        <v/>
      </c>
      <c r="V22">
        <f>HYPERLINK("https://klasma.github.io/Logging_1441/klagomål/A 50502-2024 FSC-klagomål.docx", "A 50502-2024")</f>
        <v/>
      </c>
      <c r="W22">
        <f>HYPERLINK("https://klasma.github.io/Logging_1441/klagomålsmail/A 50502-2024 FSC-klagomål mail.docx", "A 50502-2024")</f>
        <v/>
      </c>
      <c r="X22">
        <f>HYPERLINK("https://klasma.github.io/Logging_1441/tillsyn/A 50502-2024 tillsynsbegäran.docx", "A 50502-2024")</f>
        <v/>
      </c>
      <c r="Y22">
        <f>HYPERLINK("https://klasma.github.io/Logging_1441/tillsynsmail/A 50502-2024 tillsynsbegäran mail.docx", "A 50502-2024")</f>
        <v/>
      </c>
    </row>
    <row r="23" ht="15" customHeight="1">
      <c r="A23" t="inlineStr">
        <is>
          <t>A 19842-2019</t>
        </is>
      </c>
      <c r="B23" s="1" t="n">
        <v>43567</v>
      </c>
      <c r="C23" s="1" t="n">
        <v>45875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29684-2019</t>
        </is>
      </c>
      <c r="B24" s="1" t="n">
        <v>43630</v>
      </c>
      <c r="C24" s="1" t="n">
        <v>45875</v>
      </c>
      <c r="D24" t="inlineStr">
        <is>
          <t>VÄSTRA GÖTALANDS LÄN</t>
        </is>
      </c>
      <c r="E24" t="inlineStr">
        <is>
          <t>LERUM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32709-2019</t>
        </is>
      </c>
      <c r="B25" s="1" t="n">
        <v>43647</v>
      </c>
      <c r="C25" s="1" t="n">
        <v>45875</v>
      </c>
      <c r="D25" t="inlineStr">
        <is>
          <t>VÄSTRA GÖTALANDS LÄN</t>
        </is>
      </c>
      <c r="E25" t="inlineStr">
        <is>
          <t>LERUM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45875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45875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45875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45875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45875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45875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45875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45875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45875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45875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45875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45875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45875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45875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45875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45875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45875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45875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45875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45875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45875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45875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45875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45875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45875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45875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45875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45875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45875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45875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45875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45875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45875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45875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45875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45875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45875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45875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45875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45875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45875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45875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45875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45875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45875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45875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45875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45875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45875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45875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45875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45875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45875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45875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45875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45875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45875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45875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45875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45875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45875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45875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45875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45875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45875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45875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45875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45875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45875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45875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45875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45875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45875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45875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45875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45875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45875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45875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45875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45875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45875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45875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45875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45875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45875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45875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45875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45875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45875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45875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45875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45875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45875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45875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45875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45875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45875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45875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45875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45875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45875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45875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45875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45875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45875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45875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45875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45875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45875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45875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45875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45875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45875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45875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45875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45875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45875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45875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45875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45875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45875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45875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45875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45875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45875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45875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45875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45875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45875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45875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45875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45875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45875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45875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45875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45875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45875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45875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45875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45875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45875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45875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45875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45875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45875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45875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45875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45875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45875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45875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45875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45875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45875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45875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45875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45875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45875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45875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45875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45875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45875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45875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45875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45875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45875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45875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45875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45875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45875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45875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45875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45875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45875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45875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45875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45875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45875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45875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45875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45875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45875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45875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45875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45875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45875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45875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2025-08-06T20:02:26Z</dcterms:created>
  <dcterms:modified xmlns:dcterms="http://purl.org/dc/terms/" xmlns:xsi="http://www.w3.org/2001/XMLSchema-instance" xsi:type="dcterms:W3CDTF">2025-08-06T20:02:26Z</dcterms:modified>
</cp:coreProperties>
</file>