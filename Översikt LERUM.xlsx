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46199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46199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46199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46199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46199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46199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46199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46199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46199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57154-2022</t>
        </is>
      </c>
      <c r="B13" s="1" t="n">
        <v>44895</v>
      </c>
      <c r="C13" s="1" t="n">
        <v>46199</v>
      </c>
      <c r="D13" t="inlineStr">
        <is>
          <t>VÄSTRA GÖTALANDS LÄN</t>
        </is>
      </c>
      <c r="E13" t="inlineStr">
        <is>
          <t>LERUM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HYPERLINK("https://klasma.github.io/Logging_1441/artfynd/A 57154-2022 artfynd.xlsx", "A 57154-2022")</f>
        <v/>
      </c>
      <c r="T13">
        <f>HYPERLINK("https://klasma.github.io/Logging_1441/kartor/A 57154-2022 karta.png", "A 57154-2022")</f>
        <v/>
      </c>
      <c r="V13">
        <f>HYPERLINK("https://klasma.github.io/Logging_1441/klagomål/A 57154-2022 FSC-klagomål.docx", "A 57154-2022")</f>
        <v/>
      </c>
      <c r="W13">
        <f>HYPERLINK("https://klasma.github.io/Logging_1441/klagomålsmail/A 57154-2022 FSC-klagomål mail.docx", "A 57154-2022")</f>
        <v/>
      </c>
      <c r="X13">
        <f>HYPERLINK("https://klasma.github.io/Logging_1441/tillsyn/A 57154-2022 tillsynsbegäran.docx", "A 57154-2022")</f>
        <v/>
      </c>
      <c r="Y13">
        <f>HYPERLINK("https://klasma.github.io/Logging_1441/tillsynsmail/A 57154-2022 tillsynsbegäran mail.docx", "A 57154-2022")</f>
        <v/>
      </c>
    </row>
    <row r="14" ht="15" customHeight="1">
      <c r="A14" t="inlineStr">
        <is>
          <t>A 62755-2025</t>
        </is>
      </c>
      <c r="B14" s="1" t="n">
        <v>46008</v>
      </c>
      <c r="C14" s="1" t="n">
        <v>46199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HYPERLINK("https://klasma.github.io/Logging_1441/artfynd/A 62755-2025 artfynd.xlsx", "A 62755-2025")</f>
        <v/>
      </c>
      <c r="T14">
        <f>HYPERLINK("https://klasma.github.io/Logging_1441/kartor/A 62755-2025 karta.png", "A 62755-2025")</f>
        <v/>
      </c>
      <c r="V14">
        <f>HYPERLINK("https://klasma.github.io/Logging_1441/klagomål/A 62755-2025 FSC-klagomål.docx", "A 62755-2025")</f>
        <v/>
      </c>
      <c r="W14">
        <f>HYPERLINK("https://klasma.github.io/Logging_1441/klagomålsmail/A 62755-2025 FSC-klagomål mail.docx", "A 62755-2025")</f>
        <v/>
      </c>
      <c r="X14">
        <f>HYPERLINK("https://klasma.github.io/Logging_1441/tillsyn/A 62755-2025 tillsynsbegäran.docx", "A 62755-2025")</f>
        <v/>
      </c>
      <c r="Y14">
        <f>HYPERLINK("https://klasma.github.io/Logging_1441/tillsynsmail/A 62755-2025 tillsynsbegäran mail.docx", "A 62755-2025")</f>
        <v/>
      </c>
    </row>
    <row r="15" ht="15" customHeight="1">
      <c r="A15" t="inlineStr">
        <is>
          <t>A 51900-2021</t>
        </is>
      </c>
      <c r="B15" s="1" t="n">
        <v>44462</v>
      </c>
      <c r="C15" s="1" t="n">
        <v>46199</v>
      </c>
      <c r="D15" t="inlineStr">
        <is>
          <t>VÄSTRA GÖTALANDS LÄN</t>
        </is>
      </c>
      <c r="E15" t="inlineStr">
        <is>
          <t>LERUM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51900-2021 artfynd.xlsx", "A 51900-2021")</f>
        <v/>
      </c>
      <c r="T15">
        <f>HYPERLINK("https://klasma.github.io/Logging_1441/kartor/A 51900-2021 karta.png", "A 51900-2021")</f>
        <v/>
      </c>
      <c r="V15">
        <f>HYPERLINK("https://klasma.github.io/Logging_1441/klagomål/A 51900-2021 FSC-klagomål.docx", "A 51900-2021")</f>
        <v/>
      </c>
      <c r="W15">
        <f>HYPERLINK("https://klasma.github.io/Logging_1441/klagomålsmail/A 51900-2021 FSC-klagomål mail.docx", "A 51900-2021")</f>
        <v/>
      </c>
      <c r="X15">
        <f>HYPERLINK("https://klasma.github.io/Logging_1441/tillsyn/A 51900-2021 tillsynsbegäran.docx", "A 51900-2021")</f>
        <v/>
      </c>
      <c r="Y15">
        <f>HYPERLINK("https://klasma.github.io/Logging_1441/tillsynsmail/A 51900-2021 tillsynsbegäran mail.docx", "A 51900-2021")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46199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64855-2023</t>
        </is>
      </c>
      <c r="B17" s="1" t="n">
        <v>45282</v>
      </c>
      <c r="C17" s="1" t="n">
        <v>46199</v>
      </c>
      <c r="D17" t="inlineStr">
        <is>
          <t>VÄSTRA GÖTALANDS LÄN</t>
        </is>
      </c>
      <c r="E17" t="inlineStr">
        <is>
          <t>LERUM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HYPERLINK("https://klasma.github.io/Logging_1441/artfynd/A 64855-2023 artfynd.xlsx", "A 64855-2023")</f>
        <v/>
      </c>
      <c r="T17">
        <f>HYPERLINK("https://klasma.github.io/Logging_1441/kartor/A 64855-2023 karta.png", "A 64855-2023")</f>
        <v/>
      </c>
      <c r="V17">
        <f>HYPERLINK("https://klasma.github.io/Logging_1441/klagomål/A 64855-2023 FSC-klagomål.docx", "A 64855-2023")</f>
        <v/>
      </c>
      <c r="W17">
        <f>HYPERLINK("https://klasma.github.io/Logging_1441/klagomålsmail/A 64855-2023 FSC-klagomål mail.docx", "A 64855-2023")</f>
        <v/>
      </c>
      <c r="X17">
        <f>HYPERLINK("https://klasma.github.io/Logging_1441/tillsyn/A 64855-2023 tillsynsbegäran.docx", "A 64855-2023")</f>
        <v/>
      </c>
      <c r="Y17">
        <f>HYPERLINK("https://klasma.github.io/Logging_1441/tillsynsmail/A 64855-2023 tillsynsbegäran mail.docx", "A 64855-2023")</f>
        <v/>
      </c>
      <c r="Z17">
        <f>HYPERLINK("https://klasma.github.io/Logging_1441/fåglar/A 64855-2023 prioriterade fågelarter.docx", "A 64855-2023")</f>
        <v/>
      </c>
    </row>
    <row r="18" ht="15" customHeight="1">
      <c r="A18" t="inlineStr">
        <is>
          <t>A 26568-2023</t>
        </is>
      </c>
      <c r="B18" s="1" t="n">
        <v>45092</v>
      </c>
      <c r="C18" s="1" t="n">
        <v>46199</v>
      </c>
      <c r="D18" t="inlineStr">
        <is>
          <t>VÄSTRA GÖTALANDS LÄN</t>
        </is>
      </c>
      <c r="E18" t="inlineStr">
        <is>
          <t>LERUM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jordtunga</t>
        </is>
      </c>
      <c r="S18">
        <f>HYPERLINK("https://klasma.github.io/Logging_1441/artfynd/A 26568-2023 artfynd.xlsx", "A 26568-2023")</f>
        <v/>
      </c>
      <c r="T18">
        <f>HYPERLINK("https://klasma.github.io/Logging_1441/kartor/A 26568-2023 karta.png", "A 26568-2023")</f>
        <v/>
      </c>
      <c r="V18">
        <f>HYPERLINK("https://klasma.github.io/Logging_1441/klagomål/A 26568-2023 FSC-klagomål.docx", "A 26568-2023")</f>
        <v/>
      </c>
      <c r="W18">
        <f>HYPERLINK("https://klasma.github.io/Logging_1441/klagomålsmail/A 26568-2023 FSC-klagomål mail.docx", "A 26568-2023")</f>
        <v/>
      </c>
      <c r="X18">
        <f>HYPERLINK("https://klasma.github.io/Logging_1441/tillsyn/A 26568-2023 tillsynsbegäran.docx", "A 26568-2023")</f>
        <v/>
      </c>
      <c r="Y18">
        <f>HYPERLINK("https://klasma.github.io/Logging_1441/tillsynsmail/A 26568-2023 tillsynsbegäran mail.docx", "A 26568-2023")</f>
        <v/>
      </c>
    </row>
    <row r="19" ht="15" customHeight="1">
      <c r="A19" t="inlineStr">
        <is>
          <t>A 20570-2023</t>
        </is>
      </c>
      <c r="B19" s="1" t="n">
        <v>45057</v>
      </c>
      <c r="C19" s="1" t="n">
        <v>46199</v>
      </c>
      <c r="D19" t="inlineStr">
        <is>
          <t>VÄSTRA GÖTALANDS LÄN</t>
        </is>
      </c>
      <c r="E19" t="inlineStr">
        <is>
          <t>LERUM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HYPERLINK("https://klasma.github.io/Logging_1441/artfynd/A 20570-2023 artfynd.xlsx", "A 20570-2023")</f>
        <v/>
      </c>
      <c r="T19">
        <f>HYPERLINK("https://klasma.github.io/Logging_1441/kartor/A 20570-2023 karta.png", "A 20570-2023")</f>
        <v/>
      </c>
      <c r="V19">
        <f>HYPERLINK("https://klasma.github.io/Logging_1441/klagomål/A 20570-2023 FSC-klagomål.docx", "A 20570-2023")</f>
        <v/>
      </c>
      <c r="W19">
        <f>HYPERLINK("https://klasma.github.io/Logging_1441/klagomålsmail/A 20570-2023 FSC-klagomål mail.docx", "A 20570-2023")</f>
        <v/>
      </c>
      <c r="X19">
        <f>HYPERLINK("https://klasma.github.io/Logging_1441/tillsyn/A 20570-2023 tillsynsbegäran.docx", "A 20570-2023")</f>
        <v/>
      </c>
      <c r="Y19">
        <f>HYPERLINK("https://klasma.github.io/Logging_1441/tillsynsmail/A 20570-2023 tillsynsbegäran mail.docx", "A 20570-2023")</f>
        <v/>
      </c>
    </row>
    <row r="20" ht="15" customHeight="1">
      <c r="A20" t="inlineStr">
        <is>
          <t>A 10410-2022</t>
        </is>
      </c>
      <c r="B20" s="1" t="n">
        <v>44623</v>
      </c>
      <c r="C20" s="1" t="n">
        <v>46199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HYPERLINK("https://klasma.github.io/Logging_1441/artfynd/A 10410-2022 artfynd.xlsx", "A 10410-2022")</f>
        <v/>
      </c>
      <c r="T20">
        <f>HYPERLINK("https://klasma.github.io/Logging_1441/kartor/A 10410-2022 karta.png", "A 10410-2022")</f>
        <v/>
      </c>
      <c r="V20">
        <f>HYPERLINK("https://klasma.github.io/Logging_1441/klagomål/A 10410-2022 FSC-klagomål.docx", "A 10410-2022")</f>
        <v/>
      </c>
      <c r="W20">
        <f>HYPERLINK("https://klasma.github.io/Logging_1441/klagomålsmail/A 10410-2022 FSC-klagomål mail.docx", "A 10410-2022")</f>
        <v/>
      </c>
      <c r="X20">
        <f>HYPERLINK("https://klasma.github.io/Logging_1441/tillsyn/A 10410-2022 tillsynsbegäran.docx", "A 10410-2022")</f>
        <v/>
      </c>
      <c r="Y20">
        <f>HYPERLINK("https://klasma.github.io/Logging_1441/tillsynsmail/A 10410-2022 tillsynsbegäran mail.docx", "A 10410-2022")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46199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46199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46199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46199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46199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46199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46199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46199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46199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46199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46199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46199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46199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46199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7989-2024</t>
        </is>
      </c>
      <c r="B36" s="1" t="n">
        <v>45350</v>
      </c>
      <c r="C36" s="1" t="n">
        <v>46199</v>
      </c>
      <c r="D36" t="inlineStr">
        <is>
          <t>VÄSTRA GÖTALANDS LÄN</t>
        </is>
      </c>
      <c r="E36" t="inlineStr">
        <is>
          <t>LERUM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17071-2024</t>
        </is>
      </c>
      <c r="B37" s="1" t="n">
        <v>45412</v>
      </c>
      <c r="C37" s="1" t="n">
        <v>46199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7429-2024</t>
        </is>
      </c>
      <c r="B38" s="1" t="n">
        <v>45345</v>
      </c>
      <c r="C38" s="1" t="n">
        <v>46199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50622-2023</t>
        </is>
      </c>
      <c r="B39" s="1" t="n">
        <v>45217</v>
      </c>
      <c r="C39" s="1" t="n">
        <v>46199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50405-2023</t>
        </is>
      </c>
      <c r="B40" s="1" t="n">
        <v>45216</v>
      </c>
      <c r="C40" s="1" t="n">
        <v>46199</v>
      </c>
      <c r="D40" t="inlineStr">
        <is>
          <t>VÄSTRA GÖTALANDS LÄN</t>
        </is>
      </c>
      <c r="E40" t="inlineStr">
        <is>
          <t>LERUM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50410-2023</t>
        </is>
      </c>
      <c r="B41" s="1" t="n">
        <v>45216</v>
      </c>
      <c r="C41" s="1" t="n">
        <v>46199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</v>
      </c>
      <c r="C42" s="1" t="n">
        <v>46199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58042-2025</t>
        </is>
      </c>
      <c r="B43" s="1" t="n">
        <v>45982</v>
      </c>
      <c r="C43" s="1" t="n">
        <v>46199</v>
      </c>
      <c r="D43" t="inlineStr">
        <is>
          <t>VÄSTRA GÖTALANDS LÄN</t>
        </is>
      </c>
      <c r="E43" t="inlineStr">
        <is>
          <t>LERUM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</v>
      </c>
      <c r="C44" s="1" t="n">
        <v>46199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</v>
      </c>
      <c r="C45" s="1" t="n">
        <v>46199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40848-2025</t>
        </is>
      </c>
      <c r="B46" s="1" t="n">
        <v>45897</v>
      </c>
      <c r="C46" s="1" t="n">
        <v>46199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26073-2025</t>
        </is>
      </c>
      <c r="B47" s="1" t="n">
        <v>45805</v>
      </c>
      <c r="C47" s="1" t="n">
        <v>46199</v>
      </c>
      <c r="D47" t="inlineStr">
        <is>
          <t>VÄSTRA GÖTALANDS LÄN</t>
        </is>
      </c>
      <c r="E47" t="inlineStr">
        <is>
          <t>LERUM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</v>
      </c>
      <c r="C48" s="1" t="n">
        <v>46199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</v>
      </c>
      <c r="C49" s="1" t="n">
        <v>46199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45396-2025</t>
        </is>
      </c>
      <c r="B50" s="1" t="n">
        <v>45922</v>
      </c>
      <c r="C50" s="1" t="n">
        <v>46199</v>
      </c>
      <c r="D50" t="inlineStr">
        <is>
          <t>VÄSTRA GÖTALANDS LÄN</t>
        </is>
      </c>
      <c r="E50" t="inlineStr">
        <is>
          <t>LERUM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45483-2025</t>
        </is>
      </c>
      <c r="B51" s="1" t="n">
        <v>45922</v>
      </c>
      <c r="C51" s="1" t="n">
        <v>46199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45132-2025</t>
        </is>
      </c>
      <c r="B52" s="1" t="n">
        <v>45919</v>
      </c>
      <c r="C52" s="1" t="n">
        <v>46199</v>
      </c>
      <c r="D52" t="inlineStr">
        <is>
          <t>VÄSTRA GÖTALANDS LÄN</t>
        </is>
      </c>
      <c r="E52" t="inlineStr">
        <is>
          <t>LERUM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45363-2025</t>
        </is>
      </c>
      <c r="B53" s="1" t="n">
        <v>45922</v>
      </c>
      <c r="C53" s="1" t="n">
        <v>46199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28118-2024</t>
        </is>
      </c>
      <c r="B54" s="1" t="n">
        <v>45476</v>
      </c>
      <c r="C54" s="1" t="n">
        <v>46199</v>
      </c>
      <c r="D54" t="inlineStr">
        <is>
          <t>VÄSTRA GÖTALANDS LÄN</t>
        </is>
      </c>
      <c r="E54" t="inlineStr">
        <is>
          <t>LERUM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28139-2024</t>
        </is>
      </c>
      <c r="B55" s="1" t="n">
        <v>45476</v>
      </c>
      <c r="C55" s="1" t="n">
        <v>46199</v>
      </c>
      <c r="D55" t="inlineStr">
        <is>
          <t>VÄSTRA GÖTALANDS LÄN</t>
        </is>
      </c>
      <c r="E55" t="inlineStr">
        <is>
          <t>LERUM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46596-2025</t>
        </is>
      </c>
      <c r="B56" s="1" t="n">
        <v>45926</v>
      </c>
      <c r="C56" s="1" t="n">
        <v>46199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46957-2025</t>
        </is>
      </c>
      <c r="B57" s="1" t="n">
        <v>45929</v>
      </c>
      <c r="C57" s="1" t="n">
        <v>46199</v>
      </c>
      <c r="D57" t="inlineStr">
        <is>
          <t>VÄSTRA GÖTALANDS LÄN</t>
        </is>
      </c>
      <c r="E57" t="inlineStr">
        <is>
          <t>LERUM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61628-2025</t>
        </is>
      </c>
      <c r="B58" s="1" t="n">
        <v>46002</v>
      </c>
      <c r="C58" s="1" t="n">
        <v>46199</v>
      </c>
      <c r="D58" t="inlineStr">
        <is>
          <t>VÄSTRA GÖTALANDS LÄN</t>
        </is>
      </c>
      <c r="E58" t="inlineStr">
        <is>
          <t>LERUM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61766-2025</t>
        </is>
      </c>
      <c r="B59" s="1" t="n">
        <v>46002</v>
      </c>
      <c r="C59" s="1" t="n">
        <v>46199</v>
      </c>
      <c r="D59" t="inlineStr">
        <is>
          <t>VÄSTRA GÖTALANDS LÄN</t>
        </is>
      </c>
      <c r="E59" t="inlineStr">
        <is>
          <t>LERUM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61762-2025</t>
        </is>
      </c>
      <c r="B60" s="1" t="n">
        <v>46002</v>
      </c>
      <c r="C60" s="1" t="n">
        <v>46199</v>
      </c>
      <c r="D60" t="inlineStr">
        <is>
          <t>VÄSTRA GÖTALANDS LÄN</t>
        </is>
      </c>
      <c r="E60" t="inlineStr">
        <is>
          <t>LERUM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47599-2025</t>
        </is>
      </c>
      <c r="B61" s="1" t="n">
        <v>45931</v>
      </c>
      <c r="C61" s="1" t="n">
        <v>46199</v>
      </c>
      <c r="D61" t="inlineStr">
        <is>
          <t>VÄSTRA GÖTALANDS LÄN</t>
        </is>
      </c>
      <c r="E61" t="inlineStr">
        <is>
          <t>LERUM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62769-2025</t>
        </is>
      </c>
      <c r="B62" s="1" t="n">
        <v>46008</v>
      </c>
      <c r="C62" s="1" t="n">
        <v>46199</v>
      </c>
      <c r="D62" t="inlineStr">
        <is>
          <t>VÄSTRA GÖTALANDS LÄN</t>
        </is>
      </c>
      <c r="E62" t="inlineStr">
        <is>
          <t>LERUM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62774-2025</t>
        </is>
      </c>
      <c r="B63" s="1" t="n">
        <v>46008</v>
      </c>
      <c r="C63" s="1" t="n">
        <v>46199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57178-2022</t>
        </is>
      </c>
      <c r="B64" s="1" t="n">
        <v>44895</v>
      </c>
      <c r="C64" s="1" t="n">
        <v>46199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62757-2025</t>
        </is>
      </c>
      <c r="B65" s="1" t="n">
        <v>46008</v>
      </c>
      <c r="C65" s="1" t="n">
        <v>46199</v>
      </c>
      <c r="D65" t="inlineStr">
        <is>
          <t>VÄSTRA GÖTALANDS LÄN</t>
        </is>
      </c>
      <c r="E65" t="inlineStr">
        <is>
          <t>LERUM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46199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66104-2021</t>
        </is>
      </c>
      <c r="B67" s="1" t="n">
        <v>44517</v>
      </c>
      <c r="C67" s="1" t="n">
        <v>46199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46199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36756-2022</t>
        </is>
      </c>
      <c r="B69" s="1" t="n">
        <v>44805</v>
      </c>
      <c r="C69" s="1" t="n">
        <v>46199</v>
      </c>
      <c r="D69" t="inlineStr">
        <is>
          <t>VÄSTRA GÖTALANDS LÄN</t>
        </is>
      </c>
      <c r="E69" t="inlineStr">
        <is>
          <t>LERUM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57186-2022</t>
        </is>
      </c>
      <c r="B70" s="1" t="n">
        <v>44895</v>
      </c>
      <c r="C70" s="1" t="n">
        <v>46199</v>
      </c>
      <c r="D70" t="inlineStr">
        <is>
          <t>VÄSTRA GÖTALANDS LÄN</t>
        </is>
      </c>
      <c r="E70" t="inlineStr">
        <is>
          <t>LERUM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39113-2024</t>
        </is>
      </c>
      <c r="B71" s="1" t="n">
        <v>45548</v>
      </c>
      <c r="C71" s="1" t="n">
        <v>46199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7272-2023</t>
        </is>
      </c>
      <c r="B72" s="1" t="n">
        <v>44970</v>
      </c>
      <c r="C72" s="1" t="n">
        <v>46199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46199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57083-2022</t>
        </is>
      </c>
      <c r="B74" s="1" t="n">
        <v>44895</v>
      </c>
      <c r="C74" s="1" t="n">
        <v>46199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57120-2022</t>
        </is>
      </c>
      <c r="B75" s="1" t="n">
        <v>44895</v>
      </c>
      <c r="C75" s="1" t="n">
        <v>46199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57195-2022</t>
        </is>
      </c>
      <c r="B76" s="1" t="n">
        <v>44895</v>
      </c>
      <c r="C76" s="1" t="n">
        <v>46199</v>
      </c>
      <c r="D76" t="inlineStr">
        <is>
          <t>VÄSTRA GÖTALANDS LÄN</t>
        </is>
      </c>
      <c r="E76" t="inlineStr">
        <is>
          <t>LERUM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32095-2025</t>
        </is>
      </c>
      <c r="B77" s="1" t="n">
        <v>45835</v>
      </c>
      <c r="C77" s="1" t="n">
        <v>46199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32093-2025</t>
        </is>
      </c>
      <c r="B78" s="1" t="n">
        <v>45835</v>
      </c>
      <c r="C78" s="1" t="n">
        <v>46199</v>
      </c>
      <c r="D78" t="inlineStr">
        <is>
          <t>VÄSTRA GÖTALANDS LÄN</t>
        </is>
      </c>
      <c r="E78" t="inlineStr">
        <is>
          <t>LERUM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4883-2024</t>
        </is>
      </c>
      <c r="B79" s="1" t="n">
        <v>45329</v>
      </c>
      <c r="C79" s="1" t="n">
        <v>46199</v>
      </c>
      <c r="D79" t="inlineStr">
        <is>
          <t>VÄSTRA GÖTALANDS LÄN</t>
        </is>
      </c>
      <c r="E79" t="inlineStr">
        <is>
          <t>LERUM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35199-2023</t>
        </is>
      </c>
      <c r="B80" s="1" t="n">
        <v>45145</v>
      </c>
      <c r="C80" s="1" t="n">
        <v>46199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2420-2026</t>
        </is>
      </c>
      <c r="B81" s="1" t="n">
        <v>46034</v>
      </c>
      <c r="C81" s="1" t="n">
        <v>46199</v>
      </c>
      <c r="D81" t="inlineStr">
        <is>
          <t>VÄSTRA GÖTALANDS LÄN</t>
        </is>
      </c>
      <c r="E81" t="inlineStr">
        <is>
          <t>LERUM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2335-2026</t>
        </is>
      </c>
      <c r="B82" s="1" t="n">
        <v>46036</v>
      </c>
      <c r="C82" s="1" t="n">
        <v>46199</v>
      </c>
      <c r="D82" t="inlineStr">
        <is>
          <t>VÄSTRA GÖTALANDS LÄN</t>
        </is>
      </c>
      <c r="E82" t="inlineStr">
        <is>
          <t>LERUM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55429-2025</t>
        </is>
      </c>
      <c r="B83" s="1" t="n">
        <v>45971</v>
      </c>
      <c r="C83" s="1" t="n">
        <v>46199</v>
      </c>
      <c r="D83" t="inlineStr">
        <is>
          <t>VÄSTRA GÖTALANDS LÄN</t>
        </is>
      </c>
      <c r="E83" t="inlineStr">
        <is>
          <t>LERUM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56672-2025</t>
        </is>
      </c>
      <c r="B84" s="1" t="n">
        <v>45975</v>
      </c>
      <c r="C84" s="1" t="n">
        <v>46199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47866-2024</t>
        </is>
      </c>
      <c r="B85" s="1" t="n">
        <v>45588</v>
      </c>
      <c r="C85" s="1" t="n">
        <v>46199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23592-2022</t>
        </is>
      </c>
      <c r="B86" s="1" t="n">
        <v>44721</v>
      </c>
      <c r="C86" s="1" t="n">
        <v>46199</v>
      </c>
      <c r="D86" t="inlineStr">
        <is>
          <t>VÄSTRA GÖTALANDS LÄN</t>
        </is>
      </c>
      <c r="E86" t="inlineStr">
        <is>
          <t>LERUM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11232-2025</t>
        </is>
      </c>
      <c r="B87" s="1" t="n">
        <v>45726</v>
      </c>
      <c r="C87" s="1" t="n">
        <v>46199</v>
      </c>
      <c r="D87" t="inlineStr">
        <is>
          <t>VÄSTRA GÖTALANDS LÄN</t>
        </is>
      </c>
      <c r="E87" t="inlineStr">
        <is>
          <t>LERUM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7558-2026</t>
        </is>
      </c>
      <c r="B88" s="1" t="n">
        <v>46059</v>
      </c>
      <c r="C88" s="1" t="n">
        <v>46199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42526-2024</t>
        </is>
      </c>
      <c r="B89" s="1" t="n">
        <v>45565</v>
      </c>
      <c r="C89" s="1" t="n">
        <v>46199</v>
      </c>
      <c r="D89" t="inlineStr">
        <is>
          <t>VÄSTRA GÖTALANDS LÄN</t>
        </is>
      </c>
      <c r="E89" t="inlineStr">
        <is>
          <t>LERUM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16648-2023</t>
        </is>
      </c>
      <c r="B90" s="1" t="n">
        <v>45028</v>
      </c>
      <c r="C90" s="1" t="n">
        <v>46199</v>
      </c>
      <c r="D90" t="inlineStr">
        <is>
          <t>VÄSTRA GÖTALANDS LÄN</t>
        </is>
      </c>
      <c r="E90" t="inlineStr">
        <is>
          <t>LERUM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13156-2024</t>
        </is>
      </c>
      <c r="B91" s="1" t="n">
        <v>45386</v>
      </c>
      <c r="C91" s="1" t="n">
        <v>46199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37441-2022</t>
        </is>
      </c>
      <c r="B92" s="1" t="n">
        <v>44809</v>
      </c>
      <c r="C92" s="1" t="n">
        <v>46199</v>
      </c>
      <c r="D92" t="inlineStr">
        <is>
          <t>VÄSTRA GÖTALANDS LÄN</t>
        </is>
      </c>
      <c r="E92" t="inlineStr">
        <is>
          <t>LERUM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36415-2023</t>
        </is>
      </c>
      <c r="B93" s="1" t="n">
        <v>45152</v>
      </c>
      <c r="C93" s="1" t="n">
        <v>46199</v>
      </c>
      <c r="D93" t="inlineStr">
        <is>
          <t>VÄSTRA GÖTALANDS LÄN</t>
        </is>
      </c>
      <c r="E93" t="inlineStr">
        <is>
          <t>LERUM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46199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19238-2026</t>
        </is>
      </c>
      <c r="B95" s="1" t="n">
        <v>46132</v>
      </c>
      <c r="C95" s="1" t="n">
        <v>46199</v>
      </c>
      <c r="D95" t="inlineStr">
        <is>
          <t>VÄSTRA GÖTALANDS LÄN</t>
        </is>
      </c>
      <c r="E95" t="inlineStr">
        <is>
          <t>LERUM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14067-2024</t>
        </is>
      </c>
      <c r="B96" s="1" t="n">
        <v>45392</v>
      </c>
      <c r="C96" s="1" t="n">
        <v>46199</v>
      </c>
      <c r="D96" t="inlineStr">
        <is>
          <t>VÄSTRA GÖTALANDS LÄN</t>
        </is>
      </c>
      <c r="E96" t="inlineStr">
        <is>
          <t>LERUM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47398-2024</t>
        </is>
      </c>
      <c r="B97" s="1" t="n">
        <v>45587</v>
      </c>
      <c r="C97" s="1" t="n">
        <v>46199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7990-2024</t>
        </is>
      </c>
      <c r="B98" s="1" t="n">
        <v>45350</v>
      </c>
      <c r="C98" s="1" t="n">
        <v>46199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11124-2025</t>
        </is>
      </c>
      <c r="B99" s="1" t="n">
        <v>45723</v>
      </c>
      <c r="C99" s="1" t="n">
        <v>46199</v>
      </c>
      <c r="D99" t="inlineStr">
        <is>
          <t>VÄSTRA GÖTALANDS LÄN</t>
        </is>
      </c>
      <c r="E99" t="inlineStr">
        <is>
          <t>LERUM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22300-2022</t>
        </is>
      </c>
      <c r="B100" s="1" t="n">
        <v>44712</v>
      </c>
      <c r="C100" s="1" t="n">
        <v>46199</v>
      </c>
      <c r="D100" t="inlineStr">
        <is>
          <t>VÄSTRA GÖTALANDS LÄN</t>
        </is>
      </c>
      <c r="E100" t="inlineStr">
        <is>
          <t>LERUM</t>
        </is>
      </c>
      <c r="G100" t="n">
        <v>23.3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44780-2025</t>
        </is>
      </c>
      <c r="B101" s="1" t="n">
        <v>45917</v>
      </c>
      <c r="C101" s="1" t="n">
        <v>46199</v>
      </c>
      <c r="D101" t="inlineStr">
        <is>
          <t>VÄSTRA GÖTALANDS LÄN</t>
        </is>
      </c>
      <c r="E101" t="inlineStr">
        <is>
          <t>LERUM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31687-2025</t>
        </is>
      </c>
      <c r="B102" s="1" t="n">
        <v>45834</v>
      </c>
      <c r="C102" s="1" t="n">
        <v>46199</v>
      </c>
      <c r="D102" t="inlineStr">
        <is>
          <t>VÄSTRA GÖTALANDS LÄN</t>
        </is>
      </c>
      <c r="E102" t="inlineStr">
        <is>
          <t>LERUM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20210-2023</t>
        </is>
      </c>
      <c r="B103" s="1" t="n">
        <v>45055</v>
      </c>
      <c r="C103" s="1" t="n">
        <v>46199</v>
      </c>
      <c r="D103" t="inlineStr">
        <is>
          <t>VÄSTRA GÖTALANDS LÄN</t>
        </is>
      </c>
      <c r="E103" t="inlineStr">
        <is>
          <t>LERUM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28029-2025</t>
        </is>
      </c>
      <c r="B104" s="1" t="n">
        <v>45817</v>
      </c>
      <c r="C104" s="1" t="n">
        <v>46199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47944-2024</t>
        </is>
      </c>
      <c r="B105" s="1" t="n">
        <v>45589</v>
      </c>
      <c r="C105" s="1" t="n">
        <v>46199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50397-2023</t>
        </is>
      </c>
      <c r="B106" s="1" t="n">
        <v>45216</v>
      </c>
      <c r="C106" s="1" t="n">
        <v>46199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21836-2022</t>
        </is>
      </c>
      <c r="B107" s="1" t="n">
        <v>44710</v>
      </c>
      <c r="C107" s="1" t="n">
        <v>46199</v>
      </c>
      <c r="D107" t="inlineStr">
        <is>
          <t>VÄSTRA GÖTALANDS LÄN</t>
        </is>
      </c>
      <c r="E107" t="inlineStr">
        <is>
          <t>LERUM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28089-2022</t>
        </is>
      </c>
      <c r="B108" s="1" t="n">
        <v>44746</v>
      </c>
      <c r="C108" s="1" t="n">
        <v>46199</v>
      </c>
      <c r="D108" t="inlineStr">
        <is>
          <t>VÄSTRA GÖTALANDS LÄN</t>
        </is>
      </c>
      <c r="E108" t="inlineStr">
        <is>
          <t>LERUM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50420-2023</t>
        </is>
      </c>
      <c r="B109" s="1" t="n">
        <v>45216</v>
      </c>
      <c r="C109" s="1" t="n">
        <v>46199</v>
      </c>
      <c r="D109" t="inlineStr">
        <is>
          <t>VÄSTRA GÖTALANDS LÄN</t>
        </is>
      </c>
      <c r="E109" t="inlineStr">
        <is>
          <t>LERUM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24163-2024</t>
        </is>
      </c>
      <c r="B110" s="1" t="n">
        <v>45441</v>
      </c>
      <c r="C110" s="1" t="n">
        <v>46199</v>
      </c>
      <c r="D110" t="inlineStr">
        <is>
          <t>VÄSTRA GÖTALANDS LÄN</t>
        </is>
      </c>
      <c r="E110" t="inlineStr">
        <is>
          <t>LERUM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</v>
      </c>
      <c r="C111" s="1" t="n">
        <v>46199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</v>
      </c>
      <c r="C112" s="1" t="n">
        <v>46199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5359-2023</t>
        </is>
      </c>
      <c r="B113" s="1" t="n">
        <v>44959</v>
      </c>
      <c r="C113" s="1" t="n">
        <v>46199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</v>
      </c>
      <c r="C114" s="1" t="n">
        <v>46199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790-2024</t>
        </is>
      </c>
      <c r="B115" s="1" t="n">
        <v>45300</v>
      </c>
      <c r="C115" s="1" t="n">
        <v>46199</v>
      </c>
      <c r="D115" t="inlineStr">
        <is>
          <t>VÄSTRA GÖTALANDS LÄN</t>
        </is>
      </c>
      <c r="E115" t="inlineStr">
        <is>
          <t>LERUM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2026-06-26T00:49:55Z</dcterms:created>
  <dcterms:modified xmlns:dcterms="http://purl.org/dc/terms/" xmlns:xsi="http://www.w3.org/2001/XMLSchema-instance" xsi:type="dcterms:W3CDTF">2026-06-26T00:49:55Z</dcterms:modified>
</cp:coreProperties>
</file>