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45695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Grönsångare
Västlig hakmossa
Gråkråka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45695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45695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45695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24713-2019</t>
        </is>
      </c>
      <c r="B6" s="1" t="n">
        <v>43601</v>
      </c>
      <c r="C6" s="1" t="n">
        <v>45695</v>
      </c>
      <c r="D6" t="inlineStr">
        <is>
          <t>VÄSTRA GÖTALANDS LÄN</t>
        </is>
      </c>
      <c r="E6" t="inlineStr">
        <is>
          <t>LERUM</t>
        </is>
      </c>
      <c r="G6" t="n">
        <v>2.8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Svartvit taggsvamp</t>
        </is>
      </c>
      <c r="S6">
        <f>HYPERLINK("https://klasma.github.io/Logging_1441/artfynd/A 24713-2019 artfynd.xlsx", "A 24713-2019")</f>
        <v/>
      </c>
      <c r="T6">
        <f>HYPERLINK("https://klasma.github.io/Logging_1441/kartor/A 24713-2019 karta.png", "A 24713-2019")</f>
        <v/>
      </c>
      <c r="V6">
        <f>HYPERLINK("https://klasma.github.io/Logging_1441/klagomål/A 24713-2019 FSC-klagomål.docx", "A 24713-2019")</f>
        <v/>
      </c>
      <c r="W6">
        <f>HYPERLINK("https://klasma.github.io/Logging_1441/klagomålsmail/A 24713-2019 FSC-klagomål mail.docx", "A 24713-2019")</f>
        <v/>
      </c>
      <c r="X6">
        <f>HYPERLINK("https://klasma.github.io/Logging_1441/tillsyn/A 24713-2019 tillsynsbegäran.docx", "A 24713-2019")</f>
        <v/>
      </c>
      <c r="Y6">
        <f>HYPERLINK("https://klasma.github.io/Logging_1441/tillsynsmail/A 24713-2019 tillsynsbegäran mail.docx", "A 24713-2019")</f>
        <v/>
      </c>
    </row>
    <row r="7" ht="15" customHeight="1">
      <c r="A7" t="inlineStr">
        <is>
          <t>A 44301-2020</t>
        </is>
      </c>
      <c r="B7" s="1" t="n">
        <v>44084</v>
      </c>
      <c r="C7" s="1" t="n">
        <v>45695</v>
      </c>
      <c r="D7" t="inlineStr">
        <is>
          <t>VÄSTRA GÖTALANDS LÄN</t>
        </is>
      </c>
      <c r="E7" t="inlineStr">
        <is>
          <t>LERUM</t>
        </is>
      </c>
      <c r="G7" t="n">
        <v>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HYPERLINK("https://klasma.github.io/Logging_1441/artfynd/A 44301-2020 artfynd.xlsx", "A 44301-2020")</f>
        <v/>
      </c>
      <c r="T7">
        <f>HYPERLINK("https://klasma.github.io/Logging_1441/kartor/A 44301-2020 karta.png", "A 44301-2020")</f>
        <v/>
      </c>
      <c r="V7">
        <f>HYPERLINK("https://klasma.github.io/Logging_1441/klagomål/A 44301-2020 FSC-klagomål.docx", "A 44301-2020")</f>
        <v/>
      </c>
      <c r="W7">
        <f>HYPERLINK("https://klasma.github.io/Logging_1441/klagomålsmail/A 44301-2020 FSC-klagomål mail.docx", "A 44301-2020")</f>
        <v/>
      </c>
      <c r="X7">
        <f>HYPERLINK("https://klasma.github.io/Logging_1441/tillsyn/A 44301-2020 tillsynsbegäran.docx", "A 44301-2020")</f>
        <v/>
      </c>
      <c r="Y7">
        <f>HYPERLINK("https://klasma.github.io/Logging_1441/tillsynsmail/A 44301-2020 tillsynsbegäran mail.docx", "A 44301-2020")</f>
        <v/>
      </c>
      <c r="Z7">
        <f>HYPERLINK("https://klasma.github.io/Logging_1441/fåglar/A 44301-2020 prioriterade fågelarter.docx", "A 44301-2020")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45695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45695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45695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45695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45695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45695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45695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45695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45695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45695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45695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19842-2019</t>
        </is>
      </c>
      <c r="B19" s="1" t="n">
        <v>43567</v>
      </c>
      <c r="C19" s="1" t="n">
        <v>45695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29684-2019</t>
        </is>
      </c>
      <c r="B20" s="1" t="n">
        <v>43630</v>
      </c>
      <c r="C20" s="1" t="n">
        <v>45695</v>
      </c>
      <c r="D20" t="inlineStr">
        <is>
          <t>VÄSTRA GÖTALANDS LÄN</t>
        </is>
      </c>
      <c r="E20" t="inlineStr">
        <is>
          <t>LERUM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32709-2019</t>
        </is>
      </c>
      <c r="B21" s="1" t="n">
        <v>43647</v>
      </c>
      <c r="C21" s="1" t="n">
        <v>45695</v>
      </c>
      <c r="D21" t="inlineStr">
        <is>
          <t>VÄSTRA GÖTALANDS LÄN</t>
        </is>
      </c>
      <c r="E21" t="inlineStr">
        <is>
          <t>LERUM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40566-2019</t>
        </is>
      </c>
      <c r="B22" s="1" t="n">
        <v>43696</v>
      </c>
      <c r="C22" s="1" t="n">
        <v>45695</v>
      </c>
      <c r="D22" t="inlineStr">
        <is>
          <t>VÄSTRA GÖTALANDS LÄN</t>
        </is>
      </c>
      <c r="E22" t="inlineStr">
        <is>
          <t>LERUM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40575-2019</t>
        </is>
      </c>
      <c r="B23" s="1" t="n">
        <v>43696</v>
      </c>
      <c r="C23" s="1" t="n">
        <v>45695</v>
      </c>
      <c r="D23" t="inlineStr">
        <is>
          <t>VÄSTRA GÖTALANDS LÄN</t>
        </is>
      </c>
      <c r="E23" t="inlineStr">
        <is>
          <t>LERUM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49519-2019</t>
        </is>
      </c>
      <c r="B24" s="1" t="n">
        <v>43732</v>
      </c>
      <c r="C24" s="1" t="n">
        <v>45695</v>
      </c>
      <c r="D24" t="inlineStr">
        <is>
          <t>VÄSTRA GÖTALANDS LÄN</t>
        </is>
      </c>
      <c r="E24" t="inlineStr">
        <is>
          <t>LERUM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57536-2019</t>
        </is>
      </c>
      <c r="B25" s="1" t="n">
        <v>43767</v>
      </c>
      <c r="C25" s="1" t="n">
        <v>45695</v>
      </c>
      <c r="D25" t="inlineStr">
        <is>
          <t>VÄSTRA GÖTALANDS LÄN</t>
        </is>
      </c>
      <c r="E25" t="inlineStr">
        <is>
          <t>LERUM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62261-2019</t>
        </is>
      </c>
      <c r="B26" s="1" t="n">
        <v>43788</v>
      </c>
      <c r="C26" s="1" t="n">
        <v>45695</v>
      </c>
      <c r="D26" t="inlineStr">
        <is>
          <t>VÄSTRA GÖTALANDS LÄN</t>
        </is>
      </c>
      <c r="E26" t="inlineStr">
        <is>
          <t>LERUM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148-2020</t>
        </is>
      </c>
      <c r="B27" s="1" t="n">
        <v>43833</v>
      </c>
      <c r="C27" s="1" t="n">
        <v>45695</v>
      </c>
      <c r="D27" t="inlineStr">
        <is>
          <t>VÄSTRA GÖTALANDS LÄN</t>
        </is>
      </c>
      <c r="E27" t="inlineStr">
        <is>
          <t>LERUM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185-2020</t>
        </is>
      </c>
      <c r="B28" s="1" t="n">
        <v>43833</v>
      </c>
      <c r="C28" s="1" t="n">
        <v>45695</v>
      </c>
      <c r="D28" t="inlineStr">
        <is>
          <t>VÄSTRA GÖTALANDS LÄN</t>
        </is>
      </c>
      <c r="E28" t="inlineStr">
        <is>
          <t>LERUM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190-2020</t>
        </is>
      </c>
      <c r="B29" s="1" t="n">
        <v>43833</v>
      </c>
      <c r="C29" s="1" t="n">
        <v>45695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178-2020</t>
        </is>
      </c>
      <c r="B30" s="1" t="n">
        <v>43833</v>
      </c>
      <c r="C30" s="1" t="n">
        <v>45695</v>
      </c>
      <c r="D30" t="inlineStr">
        <is>
          <t>VÄSTRA GÖTALANDS LÄN</t>
        </is>
      </c>
      <c r="E30" t="inlineStr">
        <is>
          <t>LERUM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188-2020</t>
        </is>
      </c>
      <c r="B31" s="1" t="n">
        <v>43833</v>
      </c>
      <c r="C31" s="1" t="n">
        <v>45695</v>
      </c>
      <c r="D31" t="inlineStr">
        <is>
          <t>VÄSTRA GÖTALANDS LÄN</t>
        </is>
      </c>
      <c r="E31" t="inlineStr">
        <is>
          <t>LERUM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2014-2020</t>
        </is>
      </c>
      <c r="B32" s="1" t="n">
        <v>43845</v>
      </c>
      <c r="C32" s="1" t="n">
        <v>45695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1884-2020</t>
        </is>
      </c>
      <c r="B33" s="1" t="n">
        <v>43845</v>
      </c>
      <c r="C33" s="1" t="n">
        <v>45695</v>
      </c>
      <c r="D33" t="inlineStr">
        <is>
          <t>VÄSTRA GÖTALANDS LÄN</t>
        </is>
      </c>
      <c r="E33" t="inlineStr">
        <is>
          <t>LERUM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2023-2020</t>
        </is>
      </c>
      <c r="B34" s="1" t="n">
        <v>43845</v>
      </c>
      <c r="C34" s="1" t="n">
        <v>45695</v>
      </c>
      <c r="D34" t="inlineStr">
        <is>
          <t>VÄSTRA GÖTALANDS LÄN</t>
        </is>
      </c>
      <c r="E34" t="inlineStr">
        <is>
          <t>LERUM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2034-2020</t>
        </is>
      </c>
      <c r="B35" s="1" t="n">
        <v>43845</v>
      </c>
      <c r="C35" s="1" t="n">
        <v>45695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2031-2020</t>
        </is>
      </c>
      <c r="B36" s="1" t="n">
        <v>43845</v>
      </c>
      <c r="C36" s="1" t="n">
        <v>45695</v>
      </c>
      <c r="D36" t="inlineStr">
        <is>
          <t>VÄSTRA GÖTALANDS LÄN</t>
        </is>
      </c>
      <c r="E36" t="inlineStr">
        <is>
          <t>LERUM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4231-2020</t>
        </is>
      </c>
      <c r="B37" s="1" t="n">
        <v>43857</v>
      </c>
      <c r="C37" s="1" t="n">
        <v>45695</v>
      </c>
      <c r="D37" t="inlineStr">
        <is>
          <t>VÄSTRA GÖTALANDS LÄN</t>
        </is>
      </c>
      <c r="E37" t="inlineStr">
        <is>
          <t>LERUM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20698-2020</t>
        </is>
      </c>
      <c r="B38" s="1" t="n">
        <v>43949</v>
      </c>
      <c r="C38" s="1" t="n">
        <v>45695</v>
      </c>
      <c r="D38" t="inlineStr">
        <is>
          <t>VÄSTRA GÖTALANDS LÄN</t>
        </is>
      </c>
      <c r="E38" t="inlineStr">
        <is>
          <t>LERUM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22842-2020</t>
        </is>
      </c>
      <c r="B39" s="1" t="n">
        <v>43964</v>
      </c>
      <c r="C39" s="1" t="n">
        <v>45695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29379-2020</t>
        </is>
      </c>
      <c r="B40" s="1" t="n">
        <v>44004</v>
      </c>
      <c r="C40" s="1" t="n">
        <v>45695</v>
      </c>
      <c r="D40" t="inlineStr">
        <is>
          <t>VÄSTRA GÖTALANDS LÄN</t>
        </is>
      </c>
      <c r="E40" t="inlineStr">
        <is>
          <t>LERUM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45695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45695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45695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45695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45695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45695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45695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45695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45695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45695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45695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45695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45695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45695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45695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45695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45695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45695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45695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45695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45695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45695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45695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45695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45695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45695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45695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45695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45695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45695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45695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45695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45695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45695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45695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45695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45695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45695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45695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45695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45695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45695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45695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45695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45695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45695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45695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45695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45695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45695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45695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45695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45695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45695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45695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45695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45695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45695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45695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45695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45695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45695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45695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45695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45695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45695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45695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45695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45695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45695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45695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45695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45695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45695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45695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45695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45695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45695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45695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45695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45695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45695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45695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45695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45695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45695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45695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45695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45695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45695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45695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45695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45695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45695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45695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45695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45695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45695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45695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45695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45695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45695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45695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45695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45695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45695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45695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45695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45695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45695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45695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45695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45695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45695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45695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45695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45695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45695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45695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45695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45695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45695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45695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45695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45695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45695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45695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45695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45695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45695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45695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45695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45695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45695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45695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45695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45695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45695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45695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45695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45695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45695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45695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45695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45695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45695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45695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45695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59758-2024</t>
        </is>
      </c>
      <c r="B189" s="1" t="n">
        <v>45639</v>
      </c>
      <c r="C189" s="1" t="n">
        <v>45695</v>
      </c>
      <c r="D189" t="inlineStr">
        <is>
          <t>VÄSTRA GÖTALANDS LÄN</t>
        </is>
      </c>
      <c r="E189" t="inlineStr">
        <is>
          <t>LERUM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59787-2024</t>
        </is>
      </c>
      <c r="B190" s="1" t="n">
        <v>45639</v>
      </c>
      <c r="C190" s="1" t="n">
        <v>45695</v>
      </c>
      <c r="D190" t="inlineStr">
        <is>
          <t>VÄSTRA GÖTALANDS LÄN</t>
        </is>
      </c>
      <c r="E190" t="inlineStr">
        <is>
          <t>LERUM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60019-2024</t>
        </is>
      </c>
      <c r="B191" s="1" t="n">
        <v>45642</v>
      </c>
      <c r="C191" s="1" t="n">
        <v>45695</v>
      </c>
      <c r="D191" t="inlineStr">
        <is>
          <t>VÄSTRA GÖTALANDS LÄN</t>
        </is>
      </c>
      <c r="E191" t="inlineStr">
        <is>
          <t>LERUM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2306-2025</t>
        </is>
      </c>
      <c r="B192" s="1" t="n">
        <v>45673</v>
      </c>
      <c r="C192" s="1" t="n">
        <v>45695</v>
      </c>
      <c r="D192" t="inlineStr">
        <is>
          <t>VÄSTRA GÖTALANDS LÄN</t>
        </is>
      </c>
      <c r="E192" t="inlineStr">
        <is>
          <t>LERUM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2025-02-07T16:14:14Z</dcterms:created>
  <dcterms:modified xmlns:dcterms="http://purl.org/dc/terms/" xmlns:xsi="http://www.w3.org/2001/XMLSchema-instance" xsi:type="dcterms:W3CDTF">2025-02-07T16:14:14Z</dcterms:modified>
</cp:coreProperties>
</file>