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45691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Grönsångare
Västlig hakmossa
Gråkråka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  <c r="Z2">
        <f>HYPERLINK("https://klasma.github.io/Logging_1441/fåglar/A 55351-2022 prioriterade fågelarter.docx", "A 55351-2022")</f>
        <v/>
      </c>
    </row>
    <row r="3" ht="15" customHeight="1">
      <c r="A3" t="inlineStr">
        <is>
          <t>A 45791-2023</t>
        </is>
      </c>
      <c r="B3" s="1" t="n">
        <v>45195</v>
      </c>
      <c r="C3" s="1" t="n">
        <v>45691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45791-2023 artfynd.xlsx", "A 45791-2023")</f>
        <v/>
      </c>
      <c r="T3">
        <f>HYPERLINK("https://klasma.github.io/Logging_1441/kartor/A 45791-2023 karta.png", "A 45791-2023")</f>
        <v/>
      </c>
      <c r="V3">
        <f>HYPERLINK("https://klasma.github.io/Logging_1441/klagomål/A 45791-2023 FSC-klagomål.docx", "A 45791-2023")</f>
        <v/>
      </c>
      <c r="W3">
        <f>HYPERLINK("https://klasma.github.io/Logging_1441/klagomålsmail/A 45791-2023 FSC-klagomål mail.docx", "A 45791-2023")</f>
        <v/>
      </c>
      <c r="X3">
        <f>HYPERLINK("https://klasma.github.io/Logging_1441/tillsyn/A 45791-2023 tillsynsbegäran.docx", "A 45791-2023")</f>
        <v/>
      </c>
      <c r="Y3">
        <f>HYPERLINK("https://klasma.github.io/Logging_1441/tillsynsmail/A 45791-2023 tillsynsbegäran mail.docx", "A 45791-2023")</f>
        <v/>
      </c>
    </row>
    <row r="4" ht="15" customHeight="1">
      <c r="A4" t="inlineStr">
        <is>
          <t>A 28233-2022</t>
        </is>
      </c>
      <c r="B4" s="1" t="n">
        <v>44746</v>
      </c>
      <c r="C4" s="1" t="n">
        <v>45691</v>
      </c>
      <c r="D4" t="inlineStr">
        <is>
          <t>VÄSTRA GÖTALANDS LÄN</t>
        </is>
      </c>
      <c r="E4" t="inlineStr">
        <is>
          <t>LERUM</t>
        </is>
      </c>
      <c r="F4" t="inlineStr">
        <is>
          <t>Kommuner</t>
        </is>
      </c>
      <c r="G4" t="n">
        <v>1.7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Björksplintborre
Vanlig groda</t>
        </is>
      </c>
      <c r="S4">
        <f>HYPERLINK("https://klasma.github.io/Logging_1441/artfynd/A 28233-2022 artfynd.xlsx", "A 28233-2022")</f>
        <v/>
      </c>
      <c r="T4">
        <f>HYPERLINK("https://klasma.github.io/Logging_1441/kartor/A 28233-2022 karta.png", "A 28233-2022")</f>
        <v/>
      </c>
      <c r="V4">
        <f>HYPERLINK("https://klasma.github.io/Logging_1441/klagomål/A 28233-2022 FSC-klagomål.docx", "A 28233-2022")</f>
        <v/>
      </c>
      <c r="W4">
        <f>HYPERLINK("https://klasma.github.io/Logging_1441/klagomålsmail/A 28233-2022 FSC-klagomål mail.docx", "A 28233-2022")</f>
        <v/>
      </c>
      <c r="X4">
        <f>HYPERLINK("https://klasma.github.io/Logging_1441/tillsyn/A 28233-2022 tillsynsbegäran.docx", "A 28233-2022")</f>
        <v/>
      </c>
      <c r="Y4">
        <f>HYPERLINK("https://klasma.github.io/Logging_1441/tillsynsmail/A 28233-2022 tillsynsbegäran mail.docx", "A 28233-2022")</f>
        <v/>
      </c>
    </row>
    <row r="5" ht="15" customHeight="1">
      <c r="A5" t="inlineStr">
        <is>
          <t>A 2440-2023</t>
        </is>
      </c>
      <c r="B5" s="1" t="n">
        <v>44943</v>
      </c>
      <c r="C5" s="1" t="n">
        <v>45691</v>
      </c>
      <c r="D5" t="inlineStr">
        <is>
          <t>VÄSTRA GÖTALANDS LÄN</t>
        </is>
      </c>
      <c r="E5" t="inlineStr">
        <is>
          <t>LERUM</t>
        </is>
      </c>
      <c r="G5" t="n">
        <v>2.4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Blåmossa
Vanlig groda</t>
        </is>
      </c>
      <c r="S5">
        <f>HYPERLINK("https://klasma.github.io/Logging_1441/artfynd/A 2440-2023 artfynd.xlsx", "A 2440-2023")</f>
        <v/>
      </c>
      <c r="T5">
        <f>HYPERLINK("https://klasma.github.io/Logging_1441/kartor/A 2440-2023 karta.png", "A 2440-2023")</f>
        <v/>
      </c>
      <c r="V5">
        <f>HYPERLINK("https://klasma.github.io/Logging_1441/klagomål/A 2440-2023 FSC-klagomål.docx", "A 2440-2023")</f>
        <v/>
      </c>
      <c r="W5">
        <f>HYPERLINK("https://klasma.github.io/Logging_1441/klagomålsmail/A 2440-2023 FSC-klagomål mail.docx", "A 2440-2023")</f>
        <v/>
      </c>
      <c r="X5">
        <f>HYPERLINK("https://klasma.github.io/Logging_1441/tillsyn/A 2440-2023 tillsynsbegäran.docx", "A 2440-2023")</f>
        <v/>
      </c>
      <c r="Y5">
        <f>HYPERLINK("https://klasma.github.io/Logging_1441/tillsynsmail/A 2440-2023 tillsynsbegäran mail.docx", "A 2440-2023")</f>
        <v/>
      </c>
    </row>
    <row r="6" ht="15" customHeight="1">
      <c r="A6" t="inlineStr">
        <is>
          <t>A 24713-2019</t>
        </is>
      </c>
      <c r="B6" s="1" t="n">
        <v>43601</v>
      </c>
      <c r="C6" s="1" t="n">
        <v>45691</v>
      </c>
      <c r="D6" t="inlineStr">
        <is>
          <t>VÄSTRA GÖTALANDS LÄN</t>
        </is>
      </c>
      <c r="E6" t="inlineStr">
        <is>
          <t>LERUM</t>
        </is>
      </c>
      <c r="G6" t="n">
        <v>2.8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Svartvit taggsvamp</t>
        </is>
      </c>
      <c r="S6">
        <f>HYPERLINK("https://klasma.github.io/Logging_1441/artfynd/A 24713-2019 artfynd.xlsx", "A 24713-2019")</f>
        <v/>
      </c>
      <c r="T6">
        <f>HYPERLINK("https://klasma.github.io/Logging_1441/kartor/A 24713-2019 karta.png", "A 24713-2019")</f>
        <v/>
      </c>
      <c r="V6">
        <f>HYPERLINK("https://klasma.github.io/Logging_1441/klagomål/A 24713-2019 FSC-klagomål.docx", "A 24713-2019")</f>
        <v/>
      </c>
      <c r="W6">
        <f>HYPERLINK("https://klasma.github.io/Logging_1441/klagomålsmail/A 24713-2019 FSC-klagomål mail.docx", "A 24713-2019")</f>
        <v/>
      </c>
      <c r="X6">
        <f>HYPERLINK("https://klasma.github.io/Logging_1441/tillsyn/A 24713-2019 tillsynsbegäran.docx", "A 24713-2019")</f>
        <v/>
      </c>
      <c r="Y6">
        <f>HYPERLINK("https://klasma.github.io/Logging_1441/tillsynsmail/A 24713-2019 tillsynsbegäran mail.docx", "A 24713-2019")</f>
        <v/>
      </c>
    </row>
    <row r="7" ht="15" customHeight="1">
      <c r="A7" t="inlineStr">
        <is>
          <t>A 44301-2020</t>
        </is>
      </c>
      <c r="B7" s="1" t="n">
        <v>44084</v>
      </c>
      <c r="C7" s="1" t="n">
        <v>45691</v>
      </c>
      <c r="D7" t="inlineStr">
        <is>
          <t>VÄSTRA GÖTALANDS LÄN</t>
        </is>
      </c>
      <c r="E7" t="inlineStr">
        <is>
          <t>LERUM</t>
        </is>
      </c>
      <c r="G7" t="n">
        <v>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HYPERLINK("https://klasma.github.io/Logging_1441/artfynd/A 44301-2020 artfynd.xlsx", "A 44301-2020")</f>
        <v/>
      </c>
      <c r="T7">
        <f>HYPERLINK("https://klasma.github.io/Logging_1441/kartor/A 44301-2020 karta.png", "A 44301-2020")</f>
        <v/>
      </c>
      <c r="V7">
        <f>HYPERLINK("https://klasma.github.io/Logging_1441/klagomål/A 44301-2020 FSC-klagomål.docx", "A 44301-2020")</f>
        <v/>
      </c>
      <c r="W7">
        <f>HYPERLINK("https://klasma.github.io/Logging_1441/klagomålsmail/A 44301-2020 FSC-klagomål mail.docx", "A 44301-2020")</f>
        <v/>
      </c>
      <c r="X7">
        <f>HYPERLINK("https://klasma.github.io/Logging_1441/tillsyn/A 44301-2020 tillsynsbegäran.docx", "A 44301-2020")</f>
        <v/>
      </c>
      <c r="Y7">
        <f>HYPERLINK("https://klasma.github.io/Logging_1441/tillsynsmail/A 44301-2020 tillsynsbegäran mail.docx", "A 44301-2020")</f>
        <v/>
      </c>
      <c r="Z7">
        <f>HYPERLINK("https://klasma.github.io/Logging_1441/fåglar/A 44301-2020 prioriterade fågelarter.docx", "A 44301-2020")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45691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45691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45691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45691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45691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45691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45691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45691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45691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45691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45691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45691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45691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45691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45691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45691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45691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45691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45691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45691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45691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45691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45691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45691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45691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45691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45691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45691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45691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45691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45691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45691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45691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45691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45691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45691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45691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45691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45691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45691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45691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45691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45691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45691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45691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45691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45691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45691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45691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45691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45691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45691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45691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45691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45691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45691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45691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45691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45691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45691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45691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45691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45691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45691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45691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45691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45691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45691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45691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45691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45691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45691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45691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45691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45691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45691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45691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45691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45691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45691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45691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45691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45691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45691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45691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45691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45691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45691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45691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45691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45691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45691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45691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45691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45691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45691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45691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45691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45691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45691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45691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45691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45691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45691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45691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45691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45691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45691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45691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45691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45691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45691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45691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45691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45691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45691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45691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45691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45691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45691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45691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45691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45691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45691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45691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45691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45691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45691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45691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45691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45691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45691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45691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45691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45691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45691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45691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45691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45691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45691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45691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45691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45691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45691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45691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45691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45691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45691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45691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45691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45691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45691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45691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45691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45691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45691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45691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45691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45691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45691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45691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45691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45691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45691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45691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45691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45691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45691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45691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45691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45691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45691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45691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45691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45691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45691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45691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45691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45691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45691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45691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45691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45691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45691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2306-2025</t>
        </is>
      </c>
      <c r="B192" s="1" t="n">
        <v>45673</v>
      </c>
      <c r="C192" s="1" t="n">
        <v>45691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2025-02-03T16:54:36Z</dcterms:created>
  <dcterms:modified xmlns:dcterms="http://purl.org/dc/terms/" xmlns:xsi="http://www.w3.org/2001/XMLSchema-instance" xsi:type="dcterms:W3CDTF">2025-02-03T16:54:36Z</dcterms:modified>
</cp:coreProperties>
</file>