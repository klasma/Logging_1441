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46272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46272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46272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46272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46272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46272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46272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46272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46272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46272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46272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46272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46272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46272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46272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46272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64855-2023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46272</v>
      </c>
      <c r="F18" t="inlineStr">
        <is>
          <t>VÄSTRA GÖTALANDS LÄN</t>
        </is>
      </c>
      <c r="G18" t="inlineStr">
        <is>
          <t>LERUM</t>
        </is>
      </c>
      <c r="I18" t="n">
        <v>3.7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HYPERLINK("https://klasma.github.io/Logging_1441/artfynd/A 64855-2023 artfynd.xlsx", "A 64855-2023")</f>
        <v/>
      </c>
      <c r="X18">
        <f>HYPERLINK("https://klasma.github.io/Logging_1441/kartor/A 64855-2023 karta.png", "A 64855-2023")</f>
        <v/>
      </c>
      <c r="Y18">
        <f>HYPERLINK("https://klasma.github.io/Logging_1441/kartor_geotiff/A 64855-2023 georefererad karta.tif", "A 64855-2023")</f>
        <v/>
      </c>
      <c r="AA18">
        <f>HYPERLINK("https://klasma.github.io/Logging_1441/klagomål/A 64855-2023 FSC-klagomål.docx", "A 64855-2023")</f>
        <v/>
      </c>
      <c r="AB18">
        <f>HYPERLINK("https://klasma.github.io/Logging_1441/klagomålsmail/A 64855-2023 FSC-klagomål mail.docx", "A 64855-2023")</f>
        <v/>
      </c>
      <c r="AC18">
        <f>HYPERLINK("https://klasma.github.io/Logging_1441/tillsyn/A 64855-2023 tillsynsbegäran.docx", "A 64855-2023")</f>
        <v/>
      </c>
      <c r="AD18">
        <f>HYPERLINK("https://klasma.github.io/Logging_1441/tillsynsmail/A 64855-2023 tillsynsbegäran mail.docx", "A 64855-2023")</f>
        <v/>
      </c>
      <c r="AE18">
        <f>HYPERLINK("https://klasma.github.io/Logging_1441/fåglar/A 64855-2023 prioriterade fågelarter.docx", "A 64855-2023")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46272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46272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46272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46272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46272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46272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46272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46272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46272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46272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46272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46272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46272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46272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46272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46272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46272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46272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46272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46272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46272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46272</v>
      </c>
      <c r="F40" t="inlineStr">
        <is>
          <t>VÄSTRA GÖTALANDS LÄN</t>
        </is>
      </c>
      <c r="G40" t="inlineStr">
        <is>
          <t>LERUM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46272</v>
      </c>
      <c r="F41" t="inlineStr">
        <is>
          <t>VÄSTRA GÖTALANDS LÄN</t>
        </is>
      </c>
      <c r="G41" t="inlineStr">
        <is>
          <t>LERUM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46272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45055</v>
      </c>
      <c r="E43" s="1" t="n">
        <v>46272</v>
      </c>
      <c r="F43" t="inlineStr">
        <is>
          <t>VÄSTRA GÖTALANDS LÄN</t>
        </is>
      </c>
      <c r="G43" t="inlineStr">
        <is>
          <t>LERUM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27367-2025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45812</v>
      </c>
      <c r="E44" s="1" t="n">
        <v>46272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40848-2025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45897</v>
      </c>
      <c r="E45" s="1" t="n">
        <v>46272</v>
      </c>
      <c r="F45" t="inlineStr">
        <is>
          <t>VÄSTRA GÖTALANDS LÄN</t>
        </is>
      </c>
      <c r="G45" t="inlineStr">
        <is>
          <t>LERUM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46272</v>
      </c>
      <c r="F46" t="inlineStr">
        <is>
          <t>VÄSTRA GÖTALANDS LÄN</t>
        </is>
      </c>
      <c r="G46" t="inlineStr">
        <is>
          <t>LERUM</t>
        </is>
      </c>
      <c r="I46" t="n">
        <v>7.4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46272</v>
      </c>
      <c r="F47" t="inlineStr">
        <is>
          <t>VÄSTRA GÖTALANDS LÄN</t>
        </is>
      </c>
      <c r="G47" t="inlineStr">
        <is>
          <t>LERUM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32095-2025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46272</v>
      </c>
      <c r="F48" t="inlineStr">
        <is>
          <t>VÄSTRA GÖTALANDS LÄN</t>
        </is>
      </c>
      <c r="G48" t="inlineStr">
        <is>
          <t>LERUM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45132-2025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45919</v>
      </c>
      <c r="E49" s="1" t="n">
        <v>46272</v>
      </c>
      <c r="F49" t="inlineStr">
        <is>
          <t>VÄSTRA GÖTALANDS LÄN</t>
        </is>
      </c>
      <c r="G49" t="inlineStr">
        <is>
          <t>LERUM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46272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46272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46272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37441-2022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46272</v>
      </c>
      <c r="F53" t="inlineStr">
        <is>
          <t>VÄSTRA GÖTALANDS LÄN</t>
        </is>
      </c>
      <c r="G53" t="inlineStr">
        <is>
          <t>LERUM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46957-2025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45929</v>
      </c>
      <c r="E54" s="1" t="n">
        <v>46272</v>
      </c>
      <c r="F54" t="inlineStr">
        <is>
          <t>VÄSTRA GÖTALANDS LÄN</t>
        </is>
      </c>
      <c r="G54" t="inlineStr">
        <is>
          <t>LERUM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46272</v>
      </c>
      <c r="F55" t="inlineStr">
        <is>
          <t>VÄSTRA GÖTALANDS LÄN</t>
        </is>
      </c>
      <c r="G55" t="inlineStr">
        <is>
          <t>LERUM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66104-2021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46272</v>
      </c>
      <c r="F56" t="inlineStr">
        <is>
          <t>VÄSTRA GÖTALANDS LÄN</t>
        </is>
      </c>
      <c r="G56" t="inlineStr">
        <is>
          <t>LERUM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46272</v>
      </c>
      <c r="F57" t="inlineStr">
        <is>
          <t>VÄSTRA GÖTALANDS LÄN</t>
        </is>
      </c>
      <c r="G57" t="inlineStr">
        <is>
          <t>LERUM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46272</v>
      </c>
      <c r="F58" t="inlineStr">
        <is>
          <t>VÄSTRA GÖTALANDS LÄN</t>
        </is>
      </c>
      <c r="G58" t="inlineStr">
        <is>
          <t>LERUM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46272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46272</v>
      </c>
      <c r="F60" t="inlineStr">
        <is>
          <t>VÄSTRA GÖTALANDS LÄN</t>
        </is>
      </c>
      <c r="G60" t="inlineStr">
        <is>
          <t>LERUM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46272</v>
      </c>
      <c r="F61" t="inlineStr">
        <is>
          <t>VÄSTRA GÖTALANDS LÄN</t>
        </is>
      </c>
      <c r="G61" t="inlineStr">
        <is>
          <t>LERUM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44943</v>
      </c>
      <c r="E62" s="1" t="n">
        <v>46272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46272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46272</v>
      </c>
      <c r="F64" t="inlineStr">
        <is>
          <t>VÄSTRA GÖTALANDS LÄN</t>
        </is>
      </c>
      <c r="G64" t="inlineStr">
        <is>
          <t>LERUM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46272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46272</v>
      </c>
      <c r="F66" t="inlineStr">
        <is>
          <t>VÄSTRA GÖTALANDS LÄN</t>
        </is>
      </c>
      <c r="G66" t="inlineStr">
        <is>
          <t>LERUM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46272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46272</v>
      </c>
      <c r="F68" t="inlineStr">
        <is>
          <t>VÄSTRA GÖTALANDS LÄN</t>
        </is>
      </c>
      <c r="G68" t="inlineStr">
        <is>
          <t>LERUM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28103-2022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46272</v>
      </c>
      <c r="F69" t="inlineStr">
        <is>
          <t>VÄSTRA GÖTALANDS LÄN</t>
        </is>
      </c>
      <c r="G69" t="inlineStr">
        <is>
          <t>LERUM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45350</v>
      </c>
      <c r="E70" s="1" t="n">
        <v>46272</v>
      </c>
      <c r="F70" t="inlineStr">
        <is>
          <t>VÄSTRA GÖTALANDS LÄN</t>
        </is>
      </c>
      <c r="G70" t="inlineStr">
        <is>
          <t>LERUM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46036</v>
      </c>
      <c r="E71" s="1" t="n">
        <v>46272</v>
      </c>
      <c r="F71" t="inlineStr">
        <is>
          <t>VÄSTRA GÖTALANDS LÄN</t>
        </is>
      </c>
      <c r="G71" t="inlineStr">
        <is>
          <t>LERUM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46272</v>
      </c>
      <c r="F72" t="inlineStr">
        <is>
          <t>VÄSTRA GÖTALANDS LÄN</t>
        </is>
      </c>
      <c r="G72" t="inlineStr">
        <is>
          <t>LERUM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50405-2023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46272</v>
      </c>
      <c r="F73" t="inlineStr">
        <is>
          <t>VÄSTRA GÖTALANDS LÄN</t>
        </is>
      </c>
      <c r="G73" t="inlineStr">
        <is>
          <t>LERUM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46272</v>
      </c>
      <c r="F74" t="inlineStr">
        <is>
          <t>VÄSTRA GÖTALANDS LÄN</t>
        </is>
      </c>
      <c r="G74" t="inlineStr">
        <is>
          <t>LERUM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44828</v>
      </c>
      <c r="E75" s="1" t="n">
        <v>46272</v>
      </c>
      <c r="F75" t="inlineStr">
        <is>
          <t>VÄSTRA GÖTALANDS LÄN</t>
        </is>
      </c>
      <c r="G75" t="inlineStr">
        <is>
          <t>LERUM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45726</v>
      </c>
      <c r="E76" s="1" t="n">
        <v>46272</v>
      </c>
      <c r="F76" t="inlineStr">
        <is>
          <t>VÄSTRA GÖTALANDS LÄN</t>
        </is>
      </c>
      <c r="G76" t="inlineStr">
        <is>
          <t>LERUM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23592-2022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44721</v>
      </c>
      <c r="E77" s="1" t="n">
        <v>46272</v>
      </c>
      <c r="F77" t="inlineStr">
        <is>
          <t>VÄSTRA GÖTALANDS LÄN</t>
        </is>
      </c>
      <c r="G77" t="inlineStr">
        <is>
          <t>LERUM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46272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46272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46272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46272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46272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46272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46272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46272</v>
      </c>
      <c r="F85" t="inlineStr">
        <is>
          <t>VÄSTRA GÖTALANDS LÄN</t>
        </is>
      </c>
      <c r="G85" t="inlineStr">
        <is>
          <t>LERUM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45587</v>
      </c>
      <c r="E86" s="1" t="n">
        <v>46272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46272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45345</v>
      </c>
      <c r="E88" s="1" t="n">
        <v>46272</v>
      </c>
      <c r="F88" t="inlineStr">
        <is>
          <t>VÄSTRA GÖTALANDS LÄN</t>
        </is>
      </c>
      <c r="G88" t="inlineStr">
        <is>
          <t>LERUM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46272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21133-2022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44704</v>
      </c>
      <c r="E90" s="1" t="n">
        <v>46272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46272</v>
      </c>
      <c r="F91" t="inlineStr">
        <is>
          <t>VÄSTRA GÖTALANDS LÄN</t>
        </is>
      </c>
      <c r="G91" t="inlineStr">
        <is>
          <t>LERUM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46272</v>
      </c>
      <c r="F92" t="inlineStr">
        <is>
          <t>VÄSTRA GÖTALANDS LÄN</t>
        </is>
      </c>
      <c r="G92" t="inlineStr">
        <is>
          <t>LERUM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46272</v>
      </c>
      <c r="F93" t="inlineStr">
        <is>
          <t>VÄSTRA GÖTALANDS LÄN</t>
        </is>
      </c>
      <c r="G93" t="inlineStr">
        <is>
          <t>LERUM</t>
        </is>
      </c>
      <c r="I93" t="n">
        <v>23.3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46272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46272</v>
      </c>
      <c r="F95" t="inlineStr">
        <is>
          <t>VÄSTRA GÖTALANDS LÄN</t>
        </is>
      </c>
      <c r="G95" t="inlineStr">
        <is>
          <t>LERUM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46272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31687-2025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46272</v>
      </c>
      <c r="F97" t="inlineStr">
        <is>
          <t>VÄSTRA GÖTALANDS LÄN</t>
        </is>
      </c>
      <c r="G97" t="inlineStr">
        <is>
          <t>LERUM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46272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24163-2024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45441</v>
      </c>
      <c r="E99" s="1" t="n">
        <v>46272</v>
      </c>
      <c r="F99" t="inlineStr">
        <is>
          <t>VÄSTRA GÖTALANDS LÄN</t>
        </is>
      </c>
      <c r="G99" t="inlineStr">
        <is>
          <t>LERUM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45392</v>
      </c>
      <c r="E100" s="1" t="n">
        <v>46272</v>
      </c>
      <c r="F100" t="inlineStr">
        <is>
          <t>VÄSTRA GÖTALANDS LÄN</t>
        </is>
      </c>
      <c r="G100" t="inlineStr">
        <is>
          <t>LERUM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45723</v>
      </c>
      <c r="E101" s="1" t="n">
        <v>46272</v>
      </c>
      <c r="F101" t="inlineStr">
        <is>
          <t>VÄSTRA GÖTALANDS LÄN</t>
        </is>
      </c>
      <c r="G101" t="inlineStr">
        <is>
          <t>LERUM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44959</v>
      </c>
      <c r="E102" s="1" t="n">
        <v>46272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46272</v>
      </c>
      <c r="F103" t="inlineStr">
        <is>
          <t>VÄSTRA GÖTALANDS LÄN</t>
        </is>
      </c>
      <c r="G103" t="inlineStr">
        <is>
          <t>LERUM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45565</v>
      </c>
      <c r="E104" s="1" t="n">
        <v>46272</v>
      </c>
      <c r="F104" t="inlineStr">
        <is>
          <t>VÄSTRA GÖTALANDS LÄN</t>
        </is>
      </c>
      <c r="G104" t="inlineStr">
        <is>
          <t>LERUM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46272</v>
      </c>
      <c r="F105" t="inlineStr">
        <is>
          <t>VÄSTRA GÖTALANDS LÄN</t>
        </is>
      </c>
      <c r="G105" t="inlineStr">
        <is>
          <t>LERUM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46272</v>
      </c>
      <c r="F106" t="inlineStr">
        <is>
          <t>VÄSTRA GÖTALANDS LÄN</t>
        </is>
      </c>
      <c r="G106" t="inlineStr">
        <is>
          <t>LERUM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46272</v>
      </c>
      <c r="F107" t="inlineStr">
        <is>
          <t>VÄSTRA GÖTALANDS LÄN</t>
        </is>
      </c>
      <c r="G107" t="inlineStr">
        <is>
          <t>LERUM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46272</v>
      </c>
      <c r="F108" t="inlineStr">
        <is>
          <t>VÄSTRA GÖTALANDS LÄN</t>
        </is>
      </c>
      <c r="G108" t="inlineStr">
        <is>
          <t>LERUM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46272</v>
      </c>
      <c r="F109" t="inlineStr">
        <is>
          <t>VÄSTRA GÖTALANDS LÄN</t>
        </is>
      </c>
      <c r="G109" t="inlineStr">
        <is>
          <t>LERUM</t>
        </is>
      </c>
      <c r="H109" t="inlineStr">
        <is>
          <t>Kyrkan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46272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46272</v>
      </c>
      <c r="F111" t="inlineStr">
        <is>
          <t>VÄSTRA GÖTALANDS LÄN</t>
        </is>
      </c>
      <c r="G111" t="inlineStr">
        <is>
          <t>LERUM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46272</v>
      </c>
      <c r="F112" t="inlineStr">
        <is>
          <t>VÄSTRA GÖTALANDS LÄN</t>
        </is>
      </c>
      <c r="G112" t="inlineStr">
        <is>
          <t>LERUM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46272</v>
      </c>
      <c r="F113" t="inlineStr">
        <is>
          <t>VÄSTRA GÖTALANDS LÄN</t>
        </is>
      </c>
      <c r="G113" t="inlineStr">
        <is>
          <t>LERUM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44710</v>
      </c>
      <c r="E114" s="1" t="n">
        <v>46272</v>
      </c>
      <c r="F114" t="inlineStr">
        <is>
          <t>VÄSTRA GÖTALANDS LÄN</t>
        </is>
      </c>
      <c r="G114" t="inlineStr">
        <is>
          <t>LERUM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46272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46272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2026-09-07T02:09:49Z</dcterms:created>
  <dcterms:modified xmlns:dcterms="http://purl.org/dc/terms/" xmlns:xsi="http://www.w3.org/2001/XMLSchema-instance" xsi:type="dcterms:W3CDTF">2026-09-07T02:09:49Z</dcterms:modified>
</cp:coreProperties>
</file>